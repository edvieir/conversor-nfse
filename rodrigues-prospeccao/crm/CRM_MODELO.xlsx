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Painel" sheetId="2" state="visible" r:id="rId4"/>
    <sheet name="Como usar" sheetId="3" state="visible" r:id="rId5"/>
  </sheets>
  <definedNames>
    <definedName function="false" hidden="true" localSheetId="0" name="_xlnm._FilterDatabase" vbProcedure="false">Pipeline!$A$2:$Y$302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<sst xmlns="http://schemas.openxmlformats.org/spreadsheetml/2006/main" count="109" uniqueCount="109">
  <si>
    <t xml:space="preserve">CONTROLE DE PROSPECCAO - RODRIGUES CONTABILIDADE</t>
  </si>
  <si>
    <t xml:space="preserve">ID</t>
  </si>
  <si>
    <t xml:space="preserve">Data_Entrada</t>
  </si>
  <si>
    <t xml:space="preserve">Razao_Social</t>
  </si>
  <si>
    <t xml:space="preserve">Nome_Fantasia</t>
  </si>
  <si>
    <t xml:space="preserve">CNPJ</t>
  </si>
  <si>
    <t xml:space="preserve">Segmento</t>
  </si>
  <si>
    <t xml:space="preserve">Bairro</t>
  </si>
  <si>
    <t xml:space="preserve">Telefone</t>
  </si>
  <si>
    <t xml:space="preserve">WhatsApp</t>
  </si>
  <si>
    <t xml:space="preserve">Porte</t>
  </si>
  <si>
    <t xml:space="preserve">Cunha</t>
  </si>
  <si>
    <t xml:space="preserve">Status</t>
  </si>
  <si>
    <t xml:space="preserve">Data_D0</t>
  </si>
  <si>
    <t xml:space="preserve">D3_Prevista</t>
  </si>
  <si>
    <t xml:space="preserve">D7_Prevista</t>
  </si>
  <si>
    <t xml:space="preserve">D30_Prevista</t>
  </si>
  <si>
    <t xml:space="preserve">Proxima_Acao</t>
  </si>
  <si>
    <t xml:space="preserve">Alerta</t>
  </si>
  <si>
    <t xml:space="preserve">Dias_Parado</t>
  </si>
  <si>
    <t xml:space="preserve">Respondeu</t>
  </si>
  <si>
    <t xml:space="preserve">Economia_Mensal</t>
  </si>
  <si>
    <t xml:space="preserve">Retroativo</t>
  </si>
  <si>
    <t xml:space="preserve">Honorario</t>
  </si>
  <si>
    <t xml:space="preserve">Data_Fechamento</t>
  </si>
  <si>
    <t xml:space="preserve">Observacoes</t>
  </si>
  <si>
    <t xml:space="preserve">AUTO PECAS SILVA LTDA</t>
  </si>
  <si>
    <t xml:space="preserve">Silva Autopecas</t>
  </si>
  <si>
    <t xml:space="preserve">12.345.678/0001-90</t>
  </si>
  <si>
    <t xml:space="preserve">Autopecas - varejo</t>
  </si>
  <si>
    <t xml:space="preserve">Messejana</t>
  </si>
  <si>
    <t xml:space="preserve">(85) 99999-8888</t>
  </si>
  <si>
    <t xml:space="preserve">ME</t>
  </si>
  <si>
    <t xml:space="preserve">Monofasico</t>
  </si>
  <si>
    <t xml:space="preserve">D0 enviado</t>
  </si>
  <si>
    <t xml:space="preserve">Nao</t>
  </si>
  <si>
    <t xml:space="preserve">LINHA DE EXEMPLO - apague antes de usar</t>
  </si>
  <si>
    <t xml:space="preserve">PAINEL SEMANAL</t>
  </si>
  <si>
    <t xml:space="preserve">FUNIL</t>
  </si>
  <si>
    <t xml:space="preserve">Leads na base</t>
  </si>
  <si>
    <t xml:space="preserve">Total de linhas preenchidas</t>
  </si>
  <si>
    <t xml:space="preserve">Nao iniciados</t>
  </si>
  <si>
    <t xml:space="preserve">Fila a atacar</t>
  </si>
  <si>
    <t xml:space="preserve">Contatados (D0 enviado ou alem)</t>
  </si>
  <si>
    <t xml:space="preserve">Meta: 200 por mes = 10 por dia util</t>
  </si>
  <si>
    <t xml:space="preserve">Responderam</t>
  </si>
  <si>
    <t xml:space="preserve">Meta: 25% a 30% dos contatados</t>
  </si>
  <si>
    <t xml:space="preserve">Diagnosticos aceitos</t>
  </si>
  <si>
    <t xml:space="preserve">Meta: 20 por mes</t>
  </si>
  <si>
    <t xml:space="preserve">Relatorios entregues</t>
  </si>
  <si>
    <t xml:space="preserve">Meta: 10 a 12 por mes</t>
  </si>
  <si>
    <t xml:space="preserve">FECHADOS</t>
  </si>
  <si>
    <t xml:space="preserve">Meta: 4 a 5 por mes</t>
  </si>
  <si>
    <t xml:space="preserve">Perdidos</t>
  </si>
  <si>
    <t xml:space="preserve">TAXAS DE CONVERSAO</t>
  </si>
  <si>
    <t xml:space="preserve">Resposta</t>
  </si>
  <si>
    <t xml:space="preserve">Abaixo de 20% = script ou lista ruim</t>
  </si>
  <si>
    <t xml:space="preserve">Contato -&gt; diagnostico</t>
  </si>
  <si>
    <t xml:space="preserve">Referencia: 10%</t>
  </si>
  <si>
    <t xml:space="preserve">Diagnostico -&gt; fechamento</t>
  </si>
  <si>
    <t xml:space="preserve">Referencia: 35% a 45%</t>
  </si>
  <si>
    <t xml:space="preserve">Conversao total</t>
  </si>
  <si>
    <t xml:space="preserve">Referencia: 2% a 2,5%</t>
  </si>
  <si>
    <t xml:space="preserve">FINANCEIRO</t>
  </si>
  <si>
    <t xml:space="preserve">Economia mensal identificada</t>
  </si>
  <si>
    <t xml:space="preserve">Soma de toda a base</t>
  </si>
  <si>
    <t xml:space="preserve">Retroativo identificado</t>
  </si>
  <si>
    <t xml:space="preserve">Honorario mensal fechado</t>
  </si>
  <si>
    <t xml:space="preserve">Novo MRR gerado pela prospeccao</t>
  </si>
  <si>
    <t xml:space="preserve">Taxa de exito a receber (25%)</t>
  </si>
  <si>
    <t xml:space="preserve">So apos homologacao/credito</t>
  </si>
  <si>
    <t xml:space="preserve">ACAO DO DIA</t>
  </si>
  <si>
    <t xml:space="preserve">Atrasados</t>
  </si>
  <si>
    <t xml:space="preserve">Resolver antes de prospectar novo</t>
  </si>
  <si>
    <t xml:space="preserve">Follow-up para hoje</t>
  </si>
  <si>
    <t xml:space="preserve">Aguardando sua resposta</t>
  </si>
  <si>
    <t xml:space="preserve">Prioridade maxima</t>
  </si>
  <si>
    <t xml:space="preserve">CRM DE PROSPECCAO - RODRIGUES CONTABILIDADE</t>
  </si>
  <si>
    <t xml:space="preserve">REGRA GERAL</t>
  </si>
  <si>
    <t xml:space="preserve">Voce preenche APENAS as celulas com fundo amarelo.</t>
  </si>
  <si>
    <t xml:space="preserve">Todo o resto e formula e se atualiza sozinho ao abrir o arquivo.</t>
  </si>
  <si>
    <t xml:space="preserve">O QUE PREENCHER</t>
  </si>
  <si>
    <t xml:space="preserve">Razao_Social, Nome_Fantasia, CNPJ, Segmento, Bairro, Telefone, Porte</t>
  </si>
  <si>
    <t xml:space="preserve">    -&gt; cole direto da saida do script 01 (leads_fortaleza.xlsx).</t>
  </si>
  <si>
    <t xml:space="preserve">Cunha  -&gt; qual argumento voce vai usar: Monofasico, Fator R, Recem-aberta ou Indicacao.</t>
  </si>
  <si>
    <t xml:space="preserve">Status -&gt; atualize a cada movimento. Lista suspensa na propria celula.</t>
  </si>
  <si>
    <t xml:space="preserve">Data_D0 -&gt; data em que voce mandou a PRIMEIRA mensagem. E o gatilho de toda a cadencia.</t>
  </si>
  <si>
    <t xml:space="preserve">Respondeu -&gt; mude para 'Sim' assim que houver qualquer resposta. Isso PARA o follow-up automatico.</t>
  </si>
  <si>
    <t xml:space="preserve">Economia_Mensal / Retroativo -&gt; preencha apos o diagnostico.</t>
  </si>
  <si>
    <t xml:space="preserve">Honorario -&gt; valor mensal proposto (tabela de faixas A a E).</t>
  </si>
  <si>
    <t xml:space="preserve">O QUE E CALCULADO SOZINHO</t>
  </si>
  <si>
    <t xml:space="preserve">WhatsApp     -&gt; link clicavel gerado a partir do telefone.</t>
  </si>
  <si>
    <t xml:space="preserve">D3/D7/D30    -&gt; datas de follow-up em DIAS UTEIS a partir do D0.</t>
  </si>
  <si>
    <t xml:space="preserve">Proxima_Acao -&gt; qual e o proximo toque devido.</t>
  </si>
  <si>
    <t xml:space="preserve">Alerta       -&gt; INICIAR / No prazo / HOJE / ATRASADO / RESPONDEU / ESGOTADO.</t>
  </si>
  <si>
    <t xml:space="preserve">Dias_Parado  -&gt; dias desde o primeiro contato.</t>
  </si>
  <si>
    <t xml:space="preserve">ROTINA DIARIA (15 minutos, antes de qualquer outra coisa)</t>
  </si>
  <si>
    <t xml:space="preserve">1. Filtre a coluna Alerta por RESPONDEU  -&gt; responda primeiro. Sempre.</t>
  </si>
  <si>
    <t xml:space="preserve">2. Filtre por ATRASADO -&gt; zere a fila.</t>
  </si>
  <si>
    <t xml:space="preserve">3. Filtre por HOJE -&gt; execute os follow-ups do dia.</t>
  </si>
  <si>
    <t xml:space="preserve">4. Filtre por INICIAR -&gt; dispare 10 novos D0. Nunca menos de 10.</t>
  </si>
  <si>
    <t xml:space="preserve">ROTINA SEMANAL (sexta-feira, 10 minutos)</t>
  </si>
  <si>
    <t xml:space="preserve">Abra a aba Painel e anote os 5 numeros do bloco FUNIL.</t>
  </si>
  <si>
    <t xml:space="preserve">Resposta abaixo de 20%          -&gt; o problema e o script ou a lista.</t>
  </si>
  <si>
    <t xml:space="preserve">Diagnostico alto, fechamento baixo -&gt; o problema e preco ou objecao.</t>
  </si>
  <si>
    <t xml:space="preserve">Contatados abaixo de 200/mes    -&gt; o problema e disciplina, nao estrategia.</t>
  </si>
  <si>
    <t xml:space="preserve">DUAS REGRAS QUE NAO SE QUEBRAM</t>
  </si>
  <si>
    <t xml:space="preserve">1. Nunca mais de 3 mensagens em 7 dias para o mesmo contato.</t>
  </si>
  <si>
    <t xml:space="preserve">2. Status 'Perdido' nao e definitivo: volta para a fila em 75 dias, com outra cunha.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</si>
</sst>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R$ &quot;#,##0.00;[RED]&quot;-R$ &quot;#,##0.00;\-"/>
    <numFmt numFmtId="167" formatCode="General"/>
    <numFmt numFmtId="168" formatCode="0.0%"/>
    <numFmt numFmtId="169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92A3A"/>
        <bgColor rgb="FF003300"/>
      </patternFill>
    </fill>
    <fill>
      <patternFill patternType="solid">
        <fgColor rgb="FF4A87C8"/>
        <bgColor rgb="FF3399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4A87C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1F4E79"/>
        <sz val="10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4A87C8"/>
      <rgbColor rgb="FF33CCCC"/>
      <rgbColor rgb="FF99CC00"/>
      <rgbColor rgb="FFFFCC00"/>
      <rgbColor rgb="FFFF9900"/>
      <rgbColor rgb="FFFF6600"/>
      <rgbColor rgb="FF666666"/>
      <rgbColor rgb="FF969696"/>
      <rgbColor rgb="FF092A3A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6" min="13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20" min="19" style="0" width="11"/>
    <col collapsed="false" customWidth="true" hidden="false" outlineLevel="0" max="21" min="21" style="0" width="15"/>
    <col collapsed="false" customWidth="true" hidden="false" outlineLevel="0" max="22" min="22" style="0" width="14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5" min="25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customFormat="false" ht="15" hidden="false" customHeight="false" outlineLevel="0" collapsed="false">
      <c r="A3" s="3" t="n">
        <v>1</v>
      </c>
      <c r="B3" s="4" t="n">
        <f aca="true">TODAY()</f>
        <v>46254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3" t="str">
        <f aca="false">IF(H3="","",HYPERLINK("https://wa.me/55"&amp;SUBSTITUTE(SUBSTITUTE(SUBSTITUTE(SUBSTITUTE(H3,"(",""),")",""),"-","")," ",""),"Abrir"))</f>
        <v>Abrir</v>
      </c>
      <c r="J3" s="3" t="s">
        <v>32</v>
      </c>
      <c r="K3" s="5" t="s">
        <v>33</v>
      </c>
      <c r="L3" s="5" t="s">
        <v>34</v>
      </c>
      <c r="M3" s="6" t="n">
        <f aca="true">TODAY()</f>
        <v>46254</v>
      </c>
      <c r="N3" s="4" t="n">
        <f aca="false">IF(M3="","",WORKDAY(M3,3))</f>
        <v>46259</v>
      </c>
      <c r="O3" s="4" t="n">
        <f aca="false">IF(M3="","",WORKDAY(M3,7))</f>
        <v>46265</v>
      </c>
      <c r="P3" s="4" t="n">
        <f aca="false">IF(M3="","",WORKDAY(M3,30))</f>
        <v>46296</v>
      </c>
      <c r="Q3" s="4" t="n">
        <f aca="true">IF(M3="","",IF(OR(T3="Sim",COUNTIF({"FECHADO";"Perdido";"Descartado"},L3)&gt;0),"",IF(TODAY()&lt;N3,N3,IF(TODAY()&lt;O3,O3,IF(TODAY()&lt;=P3,P3,"")))))</f>
        <v>46259</v>
      </c>
      <c r="R3" s="3" t="str">
        <f aca="true">IF(C3="","",IF(COUNTIF({"FECHADO";"Perdido";"Descartado"},L3)&gt;0,"-",IF(M3="","INICIAR",IF(T3="Sim","RESPONDEU",IF(Q3="","ESGOTADO",IF(Q3&lt;TODAY(),"ATRASADO",IF(Q3=TODAY(),"HOJE","No prazo")))))))</f>
        <v>No prazo</v>
      </c>
      <c r="S3" s="3" t="n">
        <f aca="true">IF(M3="","",TODAY()-M3)</f>
        <v>0</v>
      </c>
      <c r="T3" s="7" t="s">
        <v>35</v>
      </c>
      <c r="U3" s="8"/>
      <c r="V3" s="8"/>
      <c r="W3" s="8"/>
      <c r="X3" s="4"/>
      <c r="Y3" s="5" t="s">
        <v>36</v>
      </c>
    </row>
    <row r="4" customFormat="false" ht="15" hidden="false" customHeight="false" outlineLevel="0" collapsed="false">
      <c r="A4" s="9"/>
      <c r="B4" s="10"/>
      <c r="C4" s="5"/>
      <c r="D4" s="5"/>
      <c r="E4" s="5"/>
      <c r="F4" s="5"/>
      <c r="G4" s="5"/>
      <c r="H4" s="5"/>
      <c r="I4" s="9" t="str">
        <f aca="false">IF(H4="","",HYPERLINK("https://wa.me/55"&amp;SUBSTITUTE(SUBSTITUTE(SUBSTITUTE(SUBSTITUTE(H4,"(",""),")",""),"-","")," ",""),"Abrir"))</f>
        <v/>
      </c>
      <c r="J4" s="9"/>
      <c r="K4" s="5"/>
      <c r="L4" s="5"/>
      <c r="M4" s="6"/>
      <c r="N4" s="10" t="str">
        <f aca="false">IF(M4="","",WORKDAY(M4,3))</f>
        <v/>
      </c>
      <c r="O4" s="10" t="str">
        <f aca="false">IF(M4="","",WORKDAY(M4,7))</f>
        <v/>
      </c>
      <c r="P4" s="10" t="str">
        <f aca="false">IF(M4="","",WORKDAY(M4,30))</f>
        <v/>
      </c>
      <c r="Q4" s="10" t="str">
        <f aca="true">IF(M4="","",IF(OR(T4="Sim",COUNTIF({"FECHADO";"Perdido";"Descartado"},L4)&gt;0),"",IF(TODAY()&lt;N4,N4,IF(TODAY()&lt;O4,O4,IF(TODAY()&lt;=P4,P4,"")))))</f>
        <v/>
      </c>
      <c r="R4" s="9" t="str">
        <f aca="true">IF(C4="","",IF(COUNTIF({"FECHADO";"Perdido";"Descartado"},L4)&gt;0,"-",IF(M4="","INICIAR",IF(T4="Sim","RESPONDEU",IF(Q4="","ESGOTADO",IF(Q4&lt;TODAY(),"ATRASADO",IF(Q4=TODAY(),"HOJE","No prazo")))))))</f>
        <v/>
      </c>
      <c r="S4" s="9" t="str">
        <f aca="true">IF(M4="","",TODAY()-M4)</f>
        <v/>
      </c>
      <c r="T4" s="7"/>
      <c r="U4" s="11"/>
      <c r="V4" s="11"/>
      <c r="W4" s="11"/>
      <c r="X4" s="10"/>
      <c r="Y4" s="5"/>
    </row>
    <row r="5" customFormat="false" ht="15" hidden="false" customHeight="false" outlineLevel="0" collapsed="false">
      <c r="A5" s="3"/>
      <c r="B5" s="4"/>
      <c r="C5" s="5"/>
      <c r="D5" s="5"/>
      <c r="E5" s="5"/>
      <c r="F5" s="5"/>
      <c r="G5" s="5"/>
      <c r="H5" s="5"/>
      <c r="I5" s="3" t="str">
        <f aca="false">IF(H5="","",HYPERLINK("https://wa.me/55"&amp;SUBSTITUTE(SUBSTITUTE(SUBSTITUTE(SUBSTITUTE(H5,"(",""),")",""),"-","")," ",""),"Abrir"))</f>
        <v/>
      </c>
      <c r="J5" s="3"/>
      <c r="K5" s="5"/>
      <c r="L5" s="5"/>
      <c r="M5" s="6"/>
      <c r="N5" s="4" t="str">
        <f aca="false">IF(M5="","",WORKDAY(M5,3))</f>
        <v/>
      </c>
      <c r="O5" s="4" t="str">
        <f aca="false">IF(M5="","",WORKDAY(M5,7))</f>
        <v/>
      </c>
      <c r="P5" s="4" t="str">
        <f aca="false">IF(M5="","",WORKDAY(M5,30))</f>
        <v/>
      </c>
      <c r="Q5" s="4" t="str">
        <f aca="true">IF(M5="","",IF(OR(T5="Sim",COUNTIF({"FECHADO";"Perdido";"Descartado"},L5)&gt;0),"",IF(TODAY()&lt;N5,N5,IF(TODAY()&lt;O5,O5,IF(TODAY()&lt;=P5,P5,"")))))</f>
        <v/>
      </c>
      <c r="R5" s="3" t="str">
        <f aca="true">IF(C5="","",IF(COUNTIF({"FECHADO";"Perdido";"Descartado"},L5)&gt;0,"-",IF(M5="","INICIAR",IF(T5="Sim","RESPONDEU",IF(Q5="","ESGOTADO",IF(Q5&lt;TODAY(),"ATRASADO",IF(Q5=TODAY(),"HOJE","No prazo")))))))</f>
        <v/>
      </c>
      <c r="S5" s="3" t="str">
        <f aca="true">IF(M5="","",TODAY()-M5)</f>
        <v/>
      </c>
      <c r="T5" s="7"/>
      <c r="U5" s="8"/>
      <c r="V5" s="8"/>
      <c r="W5" s="8"/>
      <c r="X5" s="4"/>
      <c r="Y5" s="5"/>
    </row>
    <row r="6" customFormat="false" ht="15" hidden="false" customHeight="false" outlineLevel="0" collapsed="false">
      <c r="A6" s="9"/>
      <c r="B6" s="10"/>
      <c r="C6" s="5"/>
      <c r="D6" s="5"/>
      <c r="E6" s="5"/>
      <c r="F6" s="5"/>
      <c r="G6" s="5"/>
      <c r="H6" s="5"/>
      <c r="I6" s="9" t="str">
        <f aca="false">IF(H6="","",HYPERLINK("https://wa.me/55"&amp;SUBSTITUTE(SUBSTITUTE(SUBSTITUTE(SUBSTITUTE(H6,"(",""),")",""),"-","")," ",""),"Abrir"))</f>
        <v/>
      </c>
      <c r="J6" s="9"/>
      <c r="K6" s="5"/>
      <c r="L6" s="5"/>
      <c r="M6" s="6"/>
      <c r="N6" s="10" t="str">
        <f aca="false">IF(M6="","",WORKDAY(M6,3))</f>
        <v/>
      </c>
      <c r="O6" s="10" t="str">
        <f aca="false">IF(M6="","",WORKDAY(M6,7))</f>
        <v/>
      </c>
      <c r="P6" s="10" t="str">
        <f aca="false">IF(M6="","",WORKDAY(M6,30))</f>
        <v/>
      </c>
      <c r="Q6" s="10" t="str">
        <f aca="true">IF(M6="","",IF(OR(T6="Sim",COUNTIF({"FECHADO";"Perdido";"Descartado"},L6)&gt;0),"",IF(TODAY()&lt;N6,N6,IF(TODAY()&lt;O6,O6,IF(TODAY()&lt;=P6,P6,"")))))</f>
        <v/>
      </c>
      <c r="R6" s="9" t="str">
        <f aca="true">IF(C6="","",IF(COUNTIF({"FECHADO";"Perdido";"Descartado"},L6)&gt;0,"-",IF(M6="","INICIAR",IF(T6="Sim","RESPONDEU",IF(Q6="","ESGOTADO",IF(Q6&lt;TODAY(),"ATRASADO",IF(Q6=TODAY(),"HOJE","No prazo")))))))</f>
        <v/>
      </c>
      <c r="S6" s="9" t="str">
        <f aca="true">IF(M6="","",TODAY()-M6)</f>
        <v/>
      </c>
      <c r="T6" s="7"/>
      <c r="U6" s="11"/>
      <c r="V6" s="11"/>
      <c r="W6" s="11"/>
      <c r="X6" s="10"/>
      <c r="Y6" s="5"/>
    </row>
    <row r="7" customFormat="false" ht="15" hidden="false" customHeight="false" outlineLevel="0" collapsed="false">
      <c r="A7" s="3"/>
      <c r="B7" s="4"/>
      <c r="C7" s="5"/>
      <c r="D7" s="5"/>
      <c r="E7" s="5"/>
      <c r="F7" s="5"/>
      <c r="G7" s="5"/>
      <c r="H7" s="5"/>
      <c r="I7" s="3" t="str">
        <f aca="false">IF(H7="","",HYPERLINK("https://wa.me/55"&amp;SUBSTITUTE(SUBSTITUTE(SUBSTITUTE(SUBSTITUTE(H7,"(",""),")",""),"-","")," ",""),"Abrir"))</f>
        <v/>
      </c>
      <c r="J7" s="3"/>
      <c r="K7" s="5"/>
      <c r="L7" s="5"/>
      <c r="M7" s="6"/>
      <c r="N7" s="4" t="str">
        <f aca="false">IF(M7="","",WORKDAY(M7,3))</f>
        <v/>
      </c>
      <c r="O7" s="4" t="str">
        <f aca="false">IF(M7="","",WORKDAY(M7,7))</f>
        <v/>
      </c>
      <c r="P7" s="4" t="str">
        <f aca="false">IF(M7="","",WORKDAY(M7,30))</f>
        <v/>
      </c>
      <c r="Q7" s="4" t="str">
        <f aca="true">IF(M7="","",IF(OR(T7="Sim",COUNTIF({"FECHADO";"Perdido";"Descartado"},L7)&gt;0),"",IF(TODAY()&lt;N7,N7,IF(TODAY()&lt;O7,O7,IF(TODAY()&lt;=P7,P7,"")))))</f>
        <v/>
      </c>
      <c r="R7" s="3" t="str">
        <f aca="true">IF(C7="","",IF(COUNTIF({"FECHADO";"Perdido";"Descartado"},L7)&gt;0,"-",IF(M7="","INICIAR",IF(T7="Sim","RESPONDEU",IF(Q7="","ESGOTADO",IF(Q7&lt;TODAY(),"ATRASADO",IF(Q7=TODAY(),"HOJE","No prazo")))))))</f>
        <v/>
      </c>
      <c r="S7" s="3" t="str">
        <f aca="true">IF(M7="","",TODAY()-M7)</f>
        <v/>
      </c>
      <c r="T7" s="7"/>
      <c r="U7" s="8"/>
      <c r="V7" s="8"/>
      <c r="W7" s="8"/>
      <c r="X7" s="4"/>
      <c r="Y7" s="5"/>
    </row>
    <row r="8" customFormat="false" ht="15" hidden="false" customHeight="false" outlineLevel="0" collapsed="false">
      <c r="A8" s="9"/>
      <c r="B8" s="10"/>
      <c r="C8" s="5"/>
      <c r="D8" s="5"/>
      <c r="E8" s="5"/>
      <c r="F8" s="5"/>
      <c r="G8" s="5"/>
      <c r="H8" s="5"/>
      <c r="I8" s="9" t="str">
        <f aca="false">IF(H8="","",HYPERLINK("https://wa.me/55"&amp;SUBSTITUTE(SUBSTITUTE(SUBSTITUTE(SUBSTITUTE(H8,"(",""),")",""),"-","")," ",""),"Abrir"))</f>
        <v/>
      </c>
      <c r="J8" s="9"/>
      <c r="K8" s="5"/>
      <c r="L8" s="5"/>
      <c r="M8" s="6"/>
      <c r="N8" s="10" t="str">
        <f aca="false">IF(M8="","",WORKDAY(M8,3))</f>
        <v/>
      </c>
      <c r="O8" s="10" t="str">
        <f aca="false">IF(M8="","",WORKDAY(M8,7))</f>
        <v/>
      </c>
      <c r="P8" s="10" t="str">
        <f aca="false">IF(M8="","",WORKDAY(M8,30))</f>
        <v/>
      </c>
      <c r="Q8" s="10" t="str">
        <f aca="true">IF(M8="","",IF(OR(T8="Sim",COUNTIF({"FECHADO";"Perdido";"Descartado"},L8)&gt;0),"",IF(TODAY()&lt;N8,N8,IF(TODAY()&lt;O8,O8,IF(TODAY()&lt;=P8,P8,"")))))</f>
        <v/>
      </c>
      <c r="R8" s="9" t="str">
        <f aca="true">IF(C8="","",IF(COUNTIF({"FECHADO";"Perdido";"Descartado"},L8)&gt;0,"-",IF(M8="","INICIAR",IF(T8="Sim","RESPONDEU",IF(Q8="","ESGOTADO",IF(Q8&lt;TODAY(),"ATRASADO",IF(Q8=TODAY(),"HOJE","No prazo")))))))</f>
        <v/>
      </c>
      <c r="S8" s="9" t="str">
        <f aca="true">IF(M8="","",TODAY()-M8)</f>
        <v/>
      </c>
      <c r="T8" s="7"/>
      <c r="U8" s="11"/>
      <c r="V8" s="11"/>
      <c r="W8" s="11"/>
      <c r="X8" s="10"/>
      <c r="Y8" s="5"/>
    </row>
    <row r="9" customFormat="false" ht="15" hidden="false" customHeight="false" outlineLevel="0" collapsed="false">
      <c r="A9" s="3"/>
      <c r="B9" s="4"/>
      <c r="C9" s="5"/>
      <c r="D9" s="5"/>
      <c r="E9" s="5"/>
      <c r="F9" s="5"/>
      <c r="G9" s="5"/>
      <c r="H9" s="5"/>
      <c r="I9" s="3" t="str">
        <f aca="false">IF(H9="","",HYPERLINK("https://wa.me/55"&amp;SUBSTITUTE(SUBSTITUTE(SUBSTITUTE(SUBSTITUTE(H9,"(",""),")",""),"-","")," ",""),"Abrir"))</f>
        <v/>
      </c>
      <c r="J9" s="3"/>
      <c r="K9" s="5"/>
      <c r="L9" s="5"/>
      <c r="M9" s="6"/>
      <c r="N9" s="4" t="str">
        <f aca="false">IF(M9="","",WORKDAY(M9,3))</f>
        <v/>
      </c>
      <c r="O9" s="4" t="str">
        <f aca="false">IF(M9="","",WORKDAY(M9,7))</f>
        <v/>
      </c>
      <c r="P9" s="4" t="str">
        <f aca="false">IF(M9="","",WORKDAY(M9,30))</f>
        <v/>
      </c>
      <c r="Q9" s="4" t="str">
        <f aca="true">IF(M9="","",IF(OR(T9="Sim",COUNTIF({"FECHADO";"Perdido";"Descartado"},L9)&gt;0),"",IF(TODAY()&lt;N9,N9,IF(TODAY()&lt;O9,O9,IF(TODAY()&lt;=P9,P9,"")))))</f>
        <v/>
      </c>
      <c r="R9" s="3" t="str">
        <f aca="true">IF(C9="","",IF(COUNTIF({"FECHADO";"Perdido";"Descartado"},L9)&gt;0,"-",IF(M9="","INICIAR",IF(T9="Sim","RESPONDEU",IF(Q9="","ESGOTADO",IF(Q9&lt;TODAY(),"ATRASADO",IF(Q9=TODAY(),"HOJE","No prazo")))))))</f>
        <v/>
      </c>
      <c r="S9" s="3" t="str">
        <f aca="true">IF(M9="","",TODAY()-M9)</f>
        <v/>
      </c>
      <c r="T9" s="7"/>
      <c r="U9" s="8"/>
      <c r="V9" s="8"/>
      <c r="W9" s="8"/>
      <c r="X9" s="4"/>
      <c r="Y9" s="5"/>
    </row>
    <row r="10" customFormat="false" ht="15" hidden="false" customHeight="false" outlineLevel="0" collapsed="false">
      <c r="A10" s="9"/>
      <c r="B10" s="10"/>
      <c r="C10" s="5"/>
      <c r="D10" s="5"/>
      <c r="E10" s="5"/>
      <c r="F10" s="5"/>
      <c r="G10" s="5"/>
      <c r="H10" s="5"/>
      <c r="I10" s="9" t="str">
        <f aca="false">IF(H10="","",HYPERLINK("https://wa.me/55"&amp;SUBSTITUTE(SUBSTITUTE(SUBSTITUTE(SUBSTITUTE(H10,"(",""),")",""),"-","")," ",""),"Abrir"))</f>
        <v/>
      </c>
      <c r="J10" s="9"/>
      <c r="K10" s="5"/>
      <c r="L10" s="5"/>
      <c r="M10" s="6"/>
      <c r="N10" s="10" t="str">
        <f aca="false">IF(M10="","",WORKDAY(M10,3))</f>
        <v/>
      </c>
      <c r="O10" s="10" t="str">
        <f aca="false">IF(M10="","",WORKDAY(M10,7))</f>
        <v/>
      </c>
      <c r="P10" s="10" t="str">
        <f aca="false">IF(M10="","",WORKDAY(M10,30))</f>
        <v/>
      </c>
      <c r="Q10" s="10" t="str">
        <f aca="true">IF(M10="","",IF(OR(T10="Sim",COUNTIF({"FECHADO";"Perdido";"Descartado"},L10)&gt;0),"",IF(TODAY()&lt;N10,N10,IF(TODAY()&lt;O10,O10,IF(TODAY()&lt;=P10,P10,"")))))</f>
        <v/>
      </c>
      <c r="R10" s="9" t="str">
        <f aca="true">IF(C10="","",IF(COUNTIF({"FECHADO";"Perdido";"Descartado"},L10)&gt;0,"-",IF(M10="","INICIAR",IF(T10="Sim","RESPONDEU",IF(Q10="","ESGOTADO",IF(Q10&lt;TODAY(),"ATRASADO",IF(Q10=TODAY(),"HOJE","No prazo")))))))</f>
        <v/>
      </c>
      <c r="S10" s="9" t="str">
        <f aca="true">IF(M10="","",TODAY()-M10)</f>
        <v/>
      </c>
      <c r="T10" s="7"/>
      <c r="U10" s="11"/>
      <c r="V10" s="11"/>
      <c r="W10" s="11"/>
      <c r="X10" s="10"/>
      <c r="Y10" s="5"/>
    </row>
    <row r="11" customFormat="false" ht="15" hidden="false" customHeight="false" outlineLevel="0" collapsed="false">
      <c r="A11" s="3"/>
      <c r="B11" s="4"/>
      <c r="C11" s="5"/>
      <c r="D11" s="5"/>
      <c r="E11" s="5"/>
      <c r="F11" s="5"/>
      <c r="G11" s="5"/>
      <c r="H11" s="5"/>
      <c r="I11" s="3" t="str">
        <f aca="false">IF(H11="","",HYPERLINK("https://wa.me/55"&amp;SUBSTITUTE(SUBSTITUTE(SUBSTITUTE(SUBSTITUTE(H11,"(",""),")",""),"-","")," ",""),"Abrir"))</f>
        <v/>
      </c>
      <c r="J11" s="3"/>
      <c r="K11" s="5"/>
      <c r="L11" s="5"/>
      <c r="M11" s="6"/>
      <c r="N11" s="4" t="str">
        <f aca="false">IF(M11="","",WORKDAY(M11,3))</f>
        <v/>
      </c>
      <c r="O11" s="4" t="str">
        <f aca="false">IF(M11="","",WORKDAY(M11,7))</f>
        <v/>
      </c>
      <c r="P11" s="4" t="str">
        <f aca="false">IF(M11="","",WORKDAY(M11,30))</f>
        <v/>
      </c>
      <c r="Q11" s="4" t="str">
        <f aca="true">IF(M11="","",IF(OR(T11="Sim",COUNTIF({"FECHADO";"Perdido";"Descartado"},L11)&gt;0),"",IF(TODAY()&lt;N11,N11,IF(TODAY()&lt;O11,O11,IF(TODAY()&lt;=P11,P11,"")))))</f>
        <v/>
      </c>
      <c r="R11" s="3" t="str">
        <f aca="true">IF(C11="","",IF(COUNTIF({"FECHADO";"Perdido";"Descartado"},L11)&gt;0,"-",IF(M11="","INICIAR",IF(T11="Sim","RESPONDEU",IF(Q11="","ESGOTADO",IF(Q11&lt;TODAY(),"ATRASADO",IF(Q11=TODAY(),"HOJE","No prazo")))))))</f>
        <v/>
      </c>
      <c r="S11" s="3" t="str">
        <f aca="true">IF(M11="","",TODAY()-M11)</f>
        <v/>
      </c>
      <c r="T11" s="7"/>
      <c r="U11" s="8"/>
      <c r="V11" s="8"/>
      <c r="W11" s="8"/>
      <c r="X11" s="4"/>
      <c r="Y11" s="5"/>
    </row>
    <row r="12" customFormat="false" ht="15" hidden="false" customHeight="false" outlineLevel="0" collapsed="false">
      <c r="A12" s="9"/>
      <c r="B12" s="10"/>
      <c r="C12" s="5"/>
      <c r="D12" s="5"/>
      <c r="E12" s="5"/>
      <c r="F12" s="5"/>
      <c r="G12" s="5"/>
      <c r="H12" s="5"/>
      <c r="I12" s="9" t="str">
        <f aca="false">IF(H12="","",HYPERLINK("https://wa.me/55"&amp;SUBSTITUTE(SUBSTITUTE(SUBSTITUTE(SUBSTITUTE(H12,"(",""),")",""),"-","")," ",""),"Abrir"))</f>
        <v/>
      </c>
      <c r="J12" s="9"/>
      <c r="K12" s="5"/>
      <c r="L12" s="5"/>
      <c r="M12" s="6"/>
      <c r="N12" s="10" t="str">
        <f aca="false">IF(M12="","",WORKDAY(M12,3))</f>
        <v/>
      </c>
      <c r="O12" s="10" t="str">
        <f aca="false">IF(M12="","",WORKDAY(M12,7))</f>
        <v/>
      </c>
      <c r="P12" s="10" t="str">
        <f aca="false">IF(M12="","",WORKDAY(M12,30))</f>
        <v/>
      </c>
      <c r="Q12" s="10" t="str">
        <f aca="true">IF(M12="","",IF(OR(T12="Sim",COUNTIF({"FECHADO";"Perdido";"Descartado"},L12)&gt;0),"",IF(TODAY()&lt;N12,N12,IF(TODAY()&lt;O12,O12,IF(TODAY()&lt;=P12,P12,"")))))</f>
        <v/>
      </c>
      <c r="R12" s="9" t="str">
        <f aca="true">IF(C12="","",IF(COUNTIF({"FECHADO";"Perdido";"Descartado"},L12)&gt;0,"-",IF(M12="","INICIAR",IF(T12="Sim","RESPONDEU",IF(Q12="","ESGOTADO",IF(Q12&lt;TODAY(),"ATRASADO",IF(Q12=TODAY(),"HOJE","No prazo")))))))</f>
        <v/>
      </c>
      <c r="S12" s="9" t="str">
        <f aca="true">IF(M12="","",TODAY()-M12)</f>
        <v/>
      </c>
      <c r="T12" s="7"/>
      <c r="U12" s="11"/>
      <c r="V12" s="11"/>
      <c r="W12" s="11"/>
      <c r="X12" s="10"/>
      <c r="Y12" s="5"/>
    </row>
    <row r="13" customFormat="false" ht="15" hidden="false" customHeight="false" outlineLevel="0" collapsed="false">
      <c r="A13" s="3"/>
      <c r="B13" s="4"/>
      <c r="C13" s="5"/>
      <c r="D13" s="5"/>
      <c r="E13" s="5"/>
      <c r="F13" s="5"/>
      <c r="G13" s="5"/>
      <c r="H13" s="5"/>
      <c r="I13" s="3" t="str">
        <f aca="false">IF(H13="","",HYPERLINK("https://wa.me/55"&amp;SUBSTITUTE(SUBSTITUTE(SUBSTITUTE(SUBSTITUTE(H13,"(",""),")",""),"-","")," ",""),"Abrir"))</f>
        <v/>
      </c>
      <c r="J13" s="3"/>
      <c r="K13" s="5"/>
      <c r="L13" s="5"/>
      <c r="M13" s="6"/>
      <c r="N13" s="4" t="str">
        <f aca="false">IF(M13="","",WORKDAY(M13,3))</f>
        <v/>
      </c>
      <c r="O13" s="4" t="str">
        <f aca="false">IF(M13="","",WORKDAY(M13,7))</f>
        <v/>
      </c>
      <c r="P13" s="4" t="str">
        <f aca="false">IF(M13="","",WORKDAY(M13,30))</f>
        <v/>
      </c>
      <c r="Q13" s="4" t="str">
        <f aca="true">IF(M13="","",IF(OR(T13="Sim",COUNTIF({"FECHADO";"Perdido";"Descartado"},L13)&gt;0),"",IF(TODAY()&lt;N13,N13,IF(TODAY()&lt;O13,O13,IF(TODAY()&lt;=P13,P13,"")))))</f>
        <v/>
      </c>
      <c r="R13" s="3" t="str">
        <f aca="true">IF(C13="","",IF(COUNTIF({"FECHADO";"Perdido";"Descartado"},L13)&gt;0,"-",IF(M13="","INICIAR",IF(T13="Sim","RESPONDEU",IF(Q13="","ESGOTADO",IF(Q13&lt;TODAY(),"ATRASADO",IF(Q13=TODAY(),"HOJE","No prazo")))))))</f>
        <v/>
      </c>
      <c r="S13" s="3" t="str">
        <f aca="true">IF(M13="","",TODAY()-M13)</f>
        <v/>
      </c>
      <c r="T13" s="7"/>
      <c r="U13" s="8"/>
      <c r="V13" s="8"/>
      <c r="W13" s="8"/>
      <c r="X13" s="4"/>
      <c r="Y13" s="5"/>
    </row>
    <row r="14" customFormat="false" ht="15" hidden="false" customHeight="false" outlineLevel="0" collapsed="false">
      <c r="A14" s="9"/>
      <c r="B14" s="10"/>
      <c r="C14" s="5"/>
      <c r="D14" s="5"/>
      <c r="E14" s="5"/>
      <c r="F14" s="5"/>
      <c r="G14" s="5"/>
      <c r="H14" s="5"/>
      <c r="I14" s="9" t="str">
        <f aca="false">IF(H14="","",HYPERLINK("https://wa.me/55"&amp;SUBSTITUTE(SUBSTITUTE(SUBSTITUTE(SUBSTITUTE(H14,"(",""),")",""),"-","")," ",""),"Abrir"))</f>
        <v/>
      </c>
      <c r="J14" s="9"/>
      <c r="K14" s="5"/>
      <c r="L14" s="5"/>
      <c r="M14" s="6"/>
      <c r="N14" s="10" t="str">
        <f aca="false">IF(M14="","",WORKDAY(M14,3))</f>
        <v/>
      </c>
      <c r="O14" s="10" t="str">
        <f aca="false">IF(M14="","",WORKDAY(M14,7))</f>
        <v/>
      </c>
      <c r="P14" s="10" t="str">
        <f aca="false">IF(M14="","",WORKDAY(M14,30))</f>
        <v/>
      </c>
      <c r="Q14" s="10" t="str">
        <f aca="true">IF(M14="","",IF(OR(T14="Sim",COUNTIF({"FECHADO";"Perdido";"Descartado"},L14)&gt;0),"",IF(TODAY()&lt;N14,N14,IF(TODAY()&lt;O14,O14,IF(TODAY()&lt;=P14,P14,"")))))</f>
        <v/>
      </c>
      <c r="R14" s="9" t="str">
        <f aca="true">IF(C14="","",IF(COUNTIF({"FECHADO";"Perdido";"Descartado"},L14)&gt;0,"-",IF(M14="","INICIAR",IF(T14="Sim","RESPONDEU",IF(Q14="","ESGOTADO",IF(Q14&lt;TODAY(),"ATRASADO",IF(Q14=TODAY(),"HOJE","No prazo")))))))</f>
        <v/>
      </c>
      <c r="S14" s="9" t="str">
        <f aca="true">IF(M14="","",TODAY()-M14)</f>
        <v/>
      </c>
      <c r="T14" s="7"/>
      <c r="U14" s="11"/>
      <c r="V14" s="11"/>
      <c r="W14" s="11"/>
      <c r="X14" s="10"/>
      <c r="Y14" s="5"/>
    </row>
    <row r="15" customFormat="false" ht="15" hidden="false" customHeight="false" outlineLevel="0" collapsed="false">
      <c r="A15" s="3"/>
      <c r="B15" s="4"/>
      <c r="C15" s="5"/>
      <c r="D15" s="5"/>
      <c r="E15" s="5"/>
      <c r="F15" s="5"/>
      <c r="G15" s="5"/>
      <c r="H15" s="5"/>
      <c r="I15" s="3" t="str">
        <f aca="false">IF(H15="","",HYPERLINK("https://wa.me/55"&amp;SUBSTITUTE(SUBSTITUTE(SUBSTITUTE(SUBSTITUTE(H15,"(",""),")",""),"-","")," ",""),"Abrir"))</f>
        <v/>
      </c>
      <c r="J15" s="3"/>
      <c r="K15" s="5"/>
      <c r="L15" s="5"/>
      <c r="M15" s="6"/>
      <c r="N15" s="4" t="str">
        <f aca="false">IF(M15="","",WORKDAY(M15,3))</f>
        <v/>
      </c>
      <c r="O15" s="4" t="str">
        <f aca="false">IF(M15="","",WORKDAY(M15,7))</f>
        <v/>
      </c>
      <c r="P15" s="4" t="str">
        <f aca="false">IF(M15="","",WORKDAY(M15,30))</f>
        <v/>
      </c>
      <c r="Q15" s="4" t="str">
        <f aca="true">IF(M15="","",IF(OR(T15="Sim",COUNTIF({"FECHADO";"Perdido";"Descartado"},L15)&gt;0),"",IF(TODAY()&lt;N15,N15,IF(TODAY()&lt;O15,O15,IF(TODAY()&lt;=P15,P15,"")))))</f>
        <v/>
      </c>
      <c r="R15" s="3" t="str">
        <f aca="true">IF(C15="","",IF(COUNTIF({"FECHADO";"Perdido";"Descartado"},L15)&gt;0,"-",IF(M15="","INICIAR",IF(T15="Sim","RESPONDEU",IF(Q15="","ESGOTADO",IF(Q15&lt;TODAY(),"ATRASADO",IF(Q15=TODAY(),"HOJE","No prazo")))))))</f>
        <v/>
      </c>
      <c r="S15" s="3" t="str">
        <f aca="true">IF(M15="","",TODAY()-M15)</f>
        <v/>
      </c>
      <c r="T15" s="7"/>
      <c r="U15" s="8"/>
      <c r="V15" s="8"/>
      <c r="W15" s="8"/>
      <c r="X15" s="4"/>
      <c r="Y15" s="5"/>
    </row>
    <row r="16" customFormat="false" ht="15" hidden="false" customHeight="false" outlineLevel="0" collapsed="false">
      <c r="A16" s="9"/>
      <c r="B16" s="10"/>
      <c r="C16" s="5"/>
      <c r="D16" s="5"/>
      <c r="E16" s="5"/>
      <c r="F16" s="5"/>
      <c r="G16" s="5"/>
      <c r="H16" s="5"/>
      <c r="I16" s="9" t="str">
        <f aca="false">IF(H16="","",HYPERLINK("https://wa.me/55"&amp;SUBSTITUTE(SUBSTITUTE(SUBSTITUTE(SUBSTITUTE(H16,"(",""),")",""),"-","")," ",""),"Abrir"))</f>
        <v/>
      </c>
      <c r="J16" s="9"/>
      <c r="K16" s="5"/>
      <c r="L16" s="5"/>
      <c r="M16" s="6"/>
      <c r="N16" s="10" t="str">
        <f aca="false">IF(M16="","",WORKDAY(M16,3))</f>
        <v/>
      </c>
      <c r="O16" s="10" t="str">
        <f aca="false">IF(M16="","",WORKDAY(M16,7))</f>
        <v/>
      </c>
      <c r="P16" s="10" t="str">
        <f aca="false">IF(M16="","",WORKDAY(M16,30))</f>
        <v/>
      </c>
      <c r="Q16" s="10" t="str">
        <f aca="true">IF(M16="","",IF(OR(T16="Sim",COUNTIF({"FECHADO";"Perdido";"Descartado"},L16)&gt;0),"",IF(TODAY()&lt;N16,N16,IF(TODAY()&lt;O16,O16,IF(TODAY()&lt;=P16,P16,"")))))</f>
        <v/>
      </c>
      <c r="R16" s="9" t="str">
        <f aca="true">IF(C16="","",IF(COUNTIF({"FECHADO";"Perdido";"Descartado"},L16)&gt;0,"-",IF(M16="","INICIAR",IF(T16="Sim","RESPONDEU",IF(Q16="","ESGOTADO",IF(Q16&lt;TODAY(),"ATRASADO",IF(Q16=TODAY(),"HOJE","No prazo")))))))</f>
        <v/>
      </c>
      <c r="S16" s="9" t="str">
        <f aca="true">IF(M16="","",TODAY()-M16)</f>
        <v/>
      </c>
      <c r="T16" s="7"/>
      <c r="U16" s="11"/>
      <c r="V16" s="11"/>
      <c r="W16" s="11"/>
      <c r="X16" s="10"/>
      <c r="Y16" s="5"/>
    </row>
    <row r="17" customFormat="false" ht="15" hidden="false" customHeight="false" outlineLevel="0" collapsed="false">
      <c r="A17" s="3"/>
      <c r="B17" s="4"/>
      <c r="C17" s="5"/>
      <c r="D17" s="5"/>
      <c r="E17" s="5"/>
      <c r="F17" s="5"/>
      <c r="G17" s="5"/>
      <c r="H17" s="5"/>
      <c r="I17" s="3" t="str">
        <f aca="false">IF(H17="","",HYPERLINK("https://wa.me/55"&amp;SUBSTITUTE(SUBSTITUTE(SUBSTITUTE(SUBSTITUTE(H17,"(",""),")",""),"-","")," ",""),"Abrir"))</f>
        <v/>
      </c>
      <c r="J17" s="3"/>
      <c r="K17" s="5"/>
      <c r="L17" s="5"/>
      <c r="M17" s="6"/>
      <c r="N17" s="4" t="str">
        <f aca="false">IF(M17="","",WORKDAY(M17,3))</f>
        <v/>
      </c>
      <c r="O17" s="4" t="str">
        <f aca="false">IF(M17="","",WORKDAY(M17,7))</f>
        <v/>
      </c>
      <c r="P17" s="4" t="str">
        <f aca="false">IF(M17="","",WORKDAY(M17,30))</f>
        <v/>
      </c>
      <c r="Q17" s="4" t="str">
        <f aca="true">IF(M17="","",IF(OR(T17="Sim",COUNTIF({"FECHADO";"Perdido";"Descartado"},L17)&gt;0),"",IF(TODAY()&lt;N17,N17,IF(TODAY()&lt;O17,O17,IF(TODAY()&lt;=P17,P17,"")))))</f>
        <v/>
      </c>
      <c r="R17" s="3" t="str">
        <f aca="true">IF(C17="","",IF(COUNTIF({"FECHADO";"Perdido";"Descartado"},L17)&gt;0,"-",IF(M17="","INICIAR",IF(T17="Sim","RESPONDEU",IF(Q17="","ESGOTADO",IF(Q17&lt;TODAY(),"ATRASADO",IF(Q17=TODAY(),"HOJE","No prazo")))))))</f>
        <v/>
      </c>
      <c r="S17" s="3" t="str">
        <f aca="true">IF(M17="","",TODAY()-M17)</f>
        <v/>
      </c>
      <c r="T17" s="7"/>
      <c r="U17" s="8"/>
      <c r="V17" s="8"/>
      <c r="W17" s="8"/>
      <c r="X17" s="4"/>
      <c r="Y17" s="5"/>
    </row>
    <row r="18" customFormat="false" ht="15" hidden="false" customHeight="false" outlineLevel="0" collapsed="false">
      <c r="A18" s="9"/>
      <c r="B18" s="10"/>
      <c r="C18" s="5"/>
      <c r="D18" s="5"/>
      <c r="E18" s="5"/>
      <c r="F18" s="5"/>
      <c r="G18" s="5"/>
      <c r="H18" s="5"/>
      <c r="I18" s="9" t="str">
        <f aca="false">IF(H18="","",HYPERLINK("https://wa.me/55"&amp;SUBSTITUTE(SUBSTITUTE(SUBSTITUTE(SUBSTITUTE(H18,"(",""),")",""),"-","")," ",""),"Abrir"))</f>
        <v/>
      </c>
      <c r="J18" s="9"/>
      <c r="K18" s="5"/>
      <c r="L18" s="5"/>
      <c r="M18" s="6"/>
      <c r="N18" s="10" t="str">
        <f aca="false">IF(M18="","",WORKDAY(M18,3))</f>
        <v/>
      </c>
      <c r="O18" s="10" t="str">
        <f aca="false">IF(M18="","",WORKDAY(M18,7))</f>
        <v/>
      </c>
      <c r="P18" s="10" t="str">
        <f aca="false">IF(M18="","",WORKDAY(M18,30))</f>
        <v/>
      </c>
      <c r="Q18" s="10" t="str">
        <f aca="true">IF(M18="","",IF(OR(T18="Sim",COUNTIF({"FECHADO";"Perdido";"Descartado"},L18)&gt;0),"",IF(TODAY()&lt;N18,N18,IF(TODAY()&lt;O18,O18,IF(TODAY()&lt;=P18,P18,"")))))</f>
        <v/>
      </c>
      <c r="R18" s="9" t="str">
        <f aca="true">IF(C18="","",IF(COUNTIF({"FECHADO";"Perdido";"Descartado"},L18)&gt;0,"-",IF(M18="","INICIAR",IF(T18="Sim","RESPONDEU",IF(Q18="","ESGOTADO",IF(Q18&lt;TODAY(),"ATRASADO",IF(Q18=TODAY(),"HOJE","No prazo")))))))</f>
        <v/>
      </c>
      <c r="S18" s="9" t="str">
        <f aca="true">IF(M18="","",TODAY()-M18)</f>
        <v/>
      </c>
      <c r="T18" s="7"/>
      <c r="U18" s="11"/>
      <c r="V18" s="11"/>
      <c r="W18" s="11"/>
      <c r="X18" s="10"/>
      <c r="Y18" s="5"/>
    </row>
    <row r="19" customFormat="false" ht="15" hidden="false" customHeight="false" outlineLevel="0" collapsed="false">
      <c r="A19" s="3"/>
      <c r="B19" s="4"/>
      <c r="C19" s="5"/>
      <c r="D19" s="5"/>
      <c r="E19" s="5"/>
      <c r="F19" s="5"/>
      <c r="G19" s="5"/>
      <c r="H19" s="5"/>
      <c r="I19" s="3" t="str">
        <f aca="false">IF(H19="","",HYPERLINK("https://wa.me/55"&amp;SUBSTITUTE(SUBSTITUTE(SUBSTITUTE(SUBSTITUTE(H19,"(",""),")",""),"-","")," ",""),"Abrir"))</f>
        <v/>
      </c>
      <c r="J19" s="3"/>
      <c r="K19" s="5"/>
      <c r="L19" s="5"/>
      <c r="M19" s="6"/>
      <c r="N19" s="4" t="str">
        <f aca="false">IF(M19="","",WORKDAY(M19,3))</f>
        <v/>
      </c>
      <c r="O19" s="4" t="str">
        <f aca="false">IF(M19="","",WORKDAY(M19,7))</f>
        <v/>
      </c>
      <c r="P19" s="4" t="str">
        <f aca="false">IF(M19="","",WORKDAY(M19,30))</f>
        <v/>
      </c>
      <c r="Q19" s="4" t="str">
        <f aca="true">IF(M19="","",IF(OR(T19="Sim",COUNTIF({"FECHADO";"Perdido";"Descartado"},L19)&gt;0),"",IF(TODAY()&lt;N19,N19,IF(TODAY()&lt;O19,O19,IF(TODAY()&lt;=P19,P19,"")))))</f>
        <v/>
      </c>
      <c r="R19" s="3" t="str">
        <f aca="true">IF(C19="","",IF(COUNTIF({"FECHADO";"Perdido";"Descartado"},L19)&gt;0,"-",IF(M19="","INICIAR",IF(T19="Sim","RESPONDEU",IF(Q19="","ESGOTADO",IF(Q19&lt;TODAY(),"ATRASADO",IF(Q19=TODAY(),"HOJE","No prazo")))))))</f>
        <v/>
      </c>
      <c r="S19" s="3" t="str">
        <f aca="true">IF(M19="","",TODAY()-M19)</f>
        <v/>
      </c>
      <c r="T19" s="7"/>
      <c r="U19" s="8"/>
      <c r="V19" s="8"/>
      <c r="W19" s="8"/>
      <c r="X19" s="4"/>
      <c r="Y19" s="5"/>
    </row>
    <row r="20" customFormat="false" ht="15" hidden="false" customHeight="false" outlineLevel="0" collapsed="false">
      <c r="A20" s="9"/>
      <c r="B20" s="10"/>
      <c r="C20" s="5"/>
      <c r="D20" s="5"/>
      <c r="E20" s="5"/>
      <c r="F20" s="5"/>
      <c r="G20" s="5"/>
      <c r="H20" s="5"/>
      <c r="I20" s="9" t="str">
        <f aca="false">IF(H20="","",HYPERLINK("https://wa.me/55"&amp;SUBSTITUTE(SUBSTITUTE(SUBSTITUTE(SUBSTITUTE(H20,"(",""),")",""),"-","")," ",""),"Abrir"))</f>
        <v/>
      </c>
      <c r="J20" s="9"/>
      <c r="K20" s="5"/>
      <c r="L20" s="5"/>
      <c r="M20" s="6"/>
      <c r="N20" s="10" t="str">
        <f aca="false">IF(M20="","",WORKDAY(M20,3))</f>
        <v/>
      </c>
      <c r="O20" s="10" t="str">
        <f aca="false">IF(M20="","",WORKDAY(M20,7))</f>
        <v/>
      </c>
      <c r="P20" s="10" t="str">
        <f aca="false">IF(M20="","",WORKDAY(M20,30))</f>
        <v/>
      </c>
      <c r="Q20" s="10" t="str">
        <f aca="true">IF(M20="","",IF(OR(T20="Sim",COUNTIF({"FECHADO";"Perdido";"Descartado"},L20)&gt;0),"",IF(TODAY()&lt;N20,N20,IF(TODAY()&lt;O20,O20,IF(TODAY()&lt;=P20,P20,"")))))</f>
        <v/>
      </c>
      <c r="R20" s="9" t="str">
        <f aca="true">IF(C20="","",IF(COUNTIF({"FECHADO";"Perdido";"Descartado"},L20)&gt;0,"-",IF(M20="","INICIAR",IF(T20="Sim","RESPONDEU",IF(Q20="","ESGOTADO",IF(Q20&lt;TODAY(),"ATRASADO",IF(Q20=TODAY(),"HOJE","No prazo")))))))</f>
        <v/>
      </c>
      <c r="S20" s="9" t="str">
        <f aca="true">IF(M20="","",TODAY()-M20)</f>
        <v/>
      </c>
      <c r="T20" s="7"/>
      <c r="U20" s="11"/>
      <c r="V20" s="11"/>
      <c r="W20" s="11"/>
      <c r="X20" s="10"/>
      <c r="Y20" s="5"/>
    </row>
    <row r="21" customFormat="false" ht="15" hidden="false" customHeight="false" outlineLevel="0" collapsed="false">
      <c r="A21" s="3"/>
      <c r="B21" s="4"/>
      <c r="C21" s="5"/>
      <c r="D21" s="5"/>
      <c r="E21" s="5"/>
      <c r="F21" s="5"/>
      <c r="G21" s="5"/>
      <c r="H21" s="5"/>
      <c r="I21" s="3" t="str">
        <f aca="false">IF(H21="","",HYPERLINK("https://wa.me/55"&amp;SUBSTITUTE(SUBSTITUTE(SUBSTITUTE(SUBSTITUTE(H21,"(",""),")",""),"-","")," ",""),"Abrir"))</f>
        <v/>
      </c>
      <c r="J21" s="3"/>
      <c r="K21" s="5"/>
      <c r="L21" s="5"/>
      <c r="M21" s="6"/>
      <c r="N21" s="4" t="str">
        <f aca="false">IF(M21="","",WORKDAY(M21,3))</f>
        <v/>
      </c>
      <c r="O21" s="4" t="str">
        <f aca="false">IF(M21="","",WORKDAY(M21,7))</f>
        <v/>
      </c>
      <c r="P21" s="4" t="str">
        <f aca="false">IF(M21="","",WORKDAY(M21,30))</f>
        <v/>
      </c>
      <c r="Q21" s="4" t="str">
        <f aca="true">IF(M21="","",IF(OR(T21="Sim",COUNTIF({"FECHADO";"Perdido";"Descartado"},L21)&gt;0),"",IF(TODAY()&lt;N21,N21,IF(TODAY()&lt;O21,O21,IF(TODAY()&lt;=P21,P21,"")))))</f>
        <v/>
      </c>
      <c r="R21" s="3" t="str">
        <f aca="true">IF(C21="","",IF(COUNTIF({"FECHADO";"Perdido";"Descartado"},L21)&gt;0,"-",IF(M21="","INICIAR",IF(T21="Sim","RESPONDEU",IF(Q21="","ESGOTADO",IF(Q21&lt;TODAY(),"ATRASADO",IF(Q21=TODAY(),"HOJE","No prazo")))))))</f>
        <v/>
      </c>
      <c r="S21" s="3" t="str">
        <f aca="true">IF(M21="","",TODAY()-M21)</f>
        <v/>
      </c>
      <c r="T21" s="7"/>
      <c r="U21" s="8"/>
      <c r="V21" s="8"/>
      <c r="W21" s="8"/>
      <c r="X21" s="4"/>
      <c r="Y21" s="5"/>
    </row>
    <row r="22" customFormat="false" ht="15" hidden="false" customHeight="false" outlineLevel="0" collapsed="false">
      <c r="A22" s="9"/>
      <c r="B22" s="10"/>
      <c r="C22" s="5"/>
      <c r="D22" s="5"/>
      <c r="E22" s="5"/>
      <c r="F22" s="5"/>
      <c r="G22" s="5"/>
      <c r="H22" s="5"/>
      <c r="I22" s="9" t="str">
        <f aca="false">IF(H22="","",HYPERLINK("https://wa.me/55"&amp;SUBSTITUTE(SUBSTITUTE(SUBSTITUTE(SUBSTITUTE(H22,"(",""),")",""),"-","")," ",""),"Abrir"))</f>
        <v/>
      </c>
      <c r="J22" s="9"/>
      <c r="K22" s="5"/>
      <c r="L22" s="5"/>
      <c r="M22" s="6"/>
      <c r="N22" s="10" t="str">
        <f aca="false">IF(M22="","",WORKDAY(M22,3))</f>
        <v/>
      </c>
      <c r="O22" s="10" t="str">
        <f aca="false">IF(M22="","",WORKDAY(M22,7))</f>
        <v/>
      </c>
      <c r="P22" s="10" t="str">
        <f aca="false">IF(M22="","",WORKDAY(M22,30))</f>
        <v/>
      </c>
      <c r="Q22" s="10" t="str">
        <f aca="true">IF(M22="","",IF(OR(T22="Sim",COUNTIF({"FECHADO";"Perdido";"Descartado"},L22)&gt;0),"",IF(TODAY()&lt;N22,N22,IF(TODAY()&lt;O22,O22,IF(TODAY()&lt;=P22,P22,"")))))</f>
        <v/>
      </c>
      <c r="R22" s="9" t="str">
        <f aca="true">IF(C22="","",IF(COUNTIF({"FECHADO";"Perdido";"Descartado"},L22)&gt;0,"-",IF(M22="","INICIAR",IF(T22="Sim","RESPONDEU",IF(Q22="","ESGOTADO",IF(Q22&lt;TODAY(),"ATRASADO",IF(Q22=TODAY(),"HOJE","No prazo")))))))</f>
        <v/>
      </c>
      <c r="S22" s="9" t="str">
        <f aca="true">IF(M22="","",TODAY()-M22)</f>
        <v/>
      </c>
      <c r="T22" s="7"/>
      <c r="U22" s="11"/>
      <c r="V22" s="11"/>
      <c r="W22" s="11"/>
      <c r="X22" s="10"/>
      <c r="Y22" s="5"/>
    </row>
    <row r="23" customFormat="false" ht="15" hidden="false" customHeight="false" outlineLevel="0" collapsed="false">
      <c r="A23" s="3"/>
      <c r="B23" s="4"/>
      <c r="C23" s="5"/>
      <c r="D23" s="5"/>
      <c r="E23" s="5"/>
      <c r="F23" s="5"/>
      <c r="G23" s="5"/>
      <c r="H23" s="5"/>
      <c r="I23" s="3" t="str">
        <f aca="false">IF(H23="","",HYPERLINK("https://wa.me/55"&amp;SUBSTITUTE(SUBSTITUTE(SUBSTITUTE(SUBSTITUTE(H23,"(",""),")",""),"-","")," ",""),"Abrir"))</f>
        <v/>
      </c>
      <c r="J23" s="3"/>
      <c r="K23" s="5"/>
      <c r="L23" s="5"/>
      <c r="M23" s="6"/>
      <c r="N23" s="4" t="str">
        <f aca="false">IF(M23="","",WORKDAY(M23,3))</f>
        <v/>
      </c>
      <c r="O23" s="4" t="str">
        <f aca="false">IF(M23="","",WORKDAY(M23,7))</f>
        <v/>
      </c>
      <c r="P23" s="4" t="str">
        <f aca="false">IF(M23="","",WORKDAY(M23,30))</f>
        <v/>
      </c>
      <c r="Q23" s="4" t="str">
        <f aca="true">IF(M23="","",IF(OR(T23="Sim",COUNTIF({"FECHADO";"Perdido";"Descartado"},L23)&gt;0),"",IF(TODAY()&lt;N23,N23,IF(TODAY()&lt;O23,O23,IF(TODAY()&lt;=P23,P23,"")))))</f>
        <v/>
      </c>
      <c r="R23" s="3" t="str">
        <f aca="true">IF(C23="","",IF(COUNTIF({"FECHADO";"Perdido";"Descartado"},L23)&gt;0,"-",IF(M23="","INICIAR",IF(T23="Sim","RESPONDEU",IF(Q23="","ESGOTADO",IF(Q23&lt;TODAY(),"ATRASADO",IF(Q23=TODAY(),"HOJE","No prazo")))))))</f>
        <v/>
      </c>
      <c r="S23" s="3" t="str">
        <f aca="true">IF(M23="","",TODAY()-M23)</f>
        <v/>
      </c>
      <c r="T23" s="7"/>
      <c r="U23" s="8"/>
      <c r="V23" s="8"/>
      <c r="W23" s="8"/>
      <c r="X23" s="4"/>
      <c r="Y23" s="5"/>
    </row>
    <row r="24" customFormat="false" ht="15" hidden="false" customHeight="false" outlineLevel="0" collapsed="false">
      <c r="A24" s="9"/>
      <c r="B24" s="10"/>
      <c r="C24" s="5"/>
      <c r="D24" s="5"/>
      <c r="E24" s="5"/>
      <c r="F24" s="5"/>
      <c r="G24" s="5"/>
      <c r="H24" s="5"/>
      <c r="I24" s="9" t="str">
        <f aca="false">IF(H24="","",HYPERLINK("https://wa.me/55"&amp;SUBSTITUTE(SUBSTITUTE(SUBSTITUTE(SUBSTITUTE(H24,"(",""),")",""),"-","")," ",""),"Abrir"))</f>
        <v/>
      </c>
      <c r="J24" s="9"/>
      <c r="K24" s="5"/>
      <c r="L24" s="5"/>
      <c r="M24" s="6"/>
      <c r="N24" s="10" t="str">
        <f aca="false">IF(M24="","",WORKDAY(M24,3))</f>
        <v/>
      </c>
      <c r="O24" s="10" t="str">
        <f aca="false">IF(M24="","",WORKDAY(M24,7))</f>
        <v/>
      </c>
      <c r="P24" s="10" t="str">
        <f aca="false">IF(M24="","",WORKDAY(M24,30))</f>
        <v/>
      </c>
      <c r="Q24" s="10" t="str">
        <f aca="true">IF(M24="","",IF(OR(T24="Sim",COUNTIF({"FECHADO";"Perdido";"Descartado"},L24)&gt;0),"",IF(TODAY()&lt;N24,N24,IF(TODAY()&lt;O24,O24,IF(TODAY()&lt;=P24,P24,"")))))</f>
        <v/>
      </c>
      <c r="R24" s="9" t="str">
        <f aca="true">IF(C24="","",IF(COUNTIF({"FECHADO";"Perdido";"Descartado"},L24)&gt;0,"-",IF(M24="","INICIAR",IF(T24="Sim","RESPONDEU",IF(Q24="","ESGOTADO",IF(Q24&lt;TODAY(),"ATRASADO",IF(Q24=TODAY(),"HOJE","No prazo")))))))</f>
        <v/>
      </c>
      <c r="S24" s="9" t="str">
        <f aca="true">IF(M24="","",TODAY()-M24)</f>
        <v/>
      </c>
      <c r="T24" s="7"/>
      <c r="U24" s="11"/>
      <c r="V24" s="11"/>
      <c r="W24" s="11"/>
      <c r="X24" s="10"/>
      <c r="Y24" s="5"/>
    </row>
    <row r="25" customFormat="false" ht="15" hidden="false" customHeight="false" outlineLevel="0" collapsed="false">
      <c r="A25" s="3"/>
      <c r="B25" s="4"/>
      <c r="C25" s="5"/>
      <c r="D25" s="5"/>
      <c r="E25" s="5"/>
      <c r="F25" s="5"/>
      <c r="G25" s="5"/>
      <c r="H25" s="5"/>
      <c r="I25" s="3" t="str">
        <f aca="false">IF(H25="","",HYPERLINK("https://wa.me/55"&amp;SUBSTITUTE(SUBSTITUTE(SUBSTITUTE(SUBSTITUTE(H25,"(",""),")",""),"-","")," ",""),"Abrir"))</f>
        <v/>
      </c>
      <c r="J25" s="3"/>
      <c r="K25" s="5"/>
      <c r="L25" s="5"/>
      <c r="M25" s="6"/>
      <c r="N25" s="4" t="str">
        <f aca="false">IF(M25="","",WORKDAY(M25,3))</f>
        <v/>
      </c>
      <c r="O25" s="4" t="str">
        <f aca="false">IF(M25="","",WORKDAY(M25,7))</f>
        <v/>
      </c>
      <c r="P25" s="4" t="str">
        <f aca="false">IF(M25="","",WORKDAY(M25,30))</f>
        <v/>
      </c>
      <c r="Q25" s="4" t="str">
        <f aca="true">IF(M25="","",IF(OR(T25="Sim",COUNTIF({"FECHADO";"Perdido";"Descartado"},L25)&gt;0),"",IF(TODAY()&lt;N25,N25,IF(TODAY()&lt;O25,O25,IF(TODAY()&lt;=P25,P25,"")))))</f>
        <v/>
      </c>
      <c r="R25" s="3" t="str">
        <f aca="true">IF(C25="","",IF(COUNTIF({"FECHADO";"Perdido";"Descartado"},L25)&gt;0,"-",IF(M25="","INICIAR",IF(T25="Sim","RESPONDEU",IF(Q25="","ESGOTADO",IF(Q25&lt;TODAY(),"ATRASADO",IF(Q25=TODAY(),"HOJE","No prazo")))))))</f>
        <v/>
      </c>
      <c r="S25" s="3" t="str">
        <f aca="true">IF(M25="","",TODAY()-M25)</f>
        <v/>
      </c>
      <c r="T25" s="7"/>
      <c r="U25" s="8"/>
      <c r="V25" s="8"/>
      <c r="W25" s="8"/>
      <c r="X25" s="4"/>
      <c r="Y25" s="5"/>
    </row>
    <row r="26" customFormat="false" ht="15" hidden="false" customHeight="false" outlineLevel="0" collapsed="false">
      <c r="A26" s="9"/>
      <c r="B26" s="10"/>
      <c r="C26" s="5"/>
      <c r="D26" s="5"/>
      <c r="E26" s="5"/>
      <c r="F26" s="5"/>
      <c r="G26" s="5"/>
      <c r="H26" s="5"/>
      <c r="I26" s="9" t="str">
        <f aca="false">IF(H26="","",HYPERLINK("https://wa.me/55"&amp;SUBSTITUTE(SUBSTITUTE(SUBSTITUTE(SUBSTITUTE(H26,"(",""),")",""),"-","")," ",""),"Abrir"))</f>
        <v/>
      </c>
      <c r="J26" s="9"/>
      <c r="K26" s="5"/>
      <c r="L26" s="5"/>
      <c r="M26" s="6"/>
      <c r="N26" s="10" t="str">
        <f aca="false">IF(M26="","",WORKDAY(M26,3))</f>
        <v/>
      </c>
      <c r="O26" s="10" t="str">
        <f aca="false">IF(M26="","",WORKDAY(M26,7))</f>
        <v/>
      </c>
      <c r="P26" s="10" t="str">
        <f aca="false">IF(M26="","",WORKDAY(M26,30))</f>
        <v/>
      </c>
      <c r="Q26" s="10" t="str">
        <f aca="true">IF(M26="","",IF(OR(T26="Sim",COUNTIF({"FECHADO";"Perdido";"Descartado"},L26)&gt;0),"",IF(TODAY()&lt;N26,N26,IF(TODAY()&lt;O26,O26,IF(TODAY()&lt;=P26,P26,"")))))</f>
        <v/>
      </c>
      <c r="R26" s="9" t="str">
        <f aca="true">IF(C26="","",IF(COUNTIF({"FECHADO";"Perdido";"Descartado"},L26)&gt;0,"-",IF(M26="","INICIAR",IF(T26="Sim","RESPONDEU",IF(Q26="","ESGOTADO",IF(Q26&lt;TODAY(),"ATRASADO",IF(Q26=TODAY(),"HOJE","No prazo")))))))</f>
        <v/>
      </c>
      <c r="S26" s="9" t="str">
        <f aca="true">IF(M26="","",TODAY()-M26)</f>
        <v/>
      </c>
      <c r="T26" s="7"/>
      <c r="U26" s="11"/>
      <c r="V26" s="11"/>
      <c r="W26" s="11"/>
      <c r="X26" s="10"/>
      <c r="Y26" s="5"/>
    </row>
    <row r="27" customFormat="false" ht="15" hidden="false" customHeight="false" outlineLevel="0" collapsed="false">
      <c r="A27" s="3"/>
      <c r="B27" s="4"/>
      <c r="C27" s="5"/>
      <c r="D27" s="5"/>
      <c r="E27" s="5"/>
      <c r="F27" s="5"/>
      <c r="G27" s="5"/>
      <c r="H27" s="5"/>
      <c r="I27" s="3" t="str">
        <f aca="false">IF(H27="","",HYPERLINK("https://wa.me/55"&amp;SUBSTITUTE(SUBSTITUTE(SUBSTITUTE(SUBSTITUTE(H27,"(",""),")",""),"-","")," ",""),"Abrir"))</f>
        <v/>
      </c>
      <c r="J27" s="3"/>
      <c r="K27" s="5"/>
      <c r="L27" s="5"/>
      <c r="M27" s="6"/>
      <c r="N27" s="4" t="str">
        <f aca="false">IF(M27="","",WORKDAY(M27,3))</f>
        <v/>
      </c>
      <c r="O27" s="4" t="str">
        <f aca="false">IF(M27="","",WORKDAY(M27,7))</f>
        <v/>
      </c>
      <c r="P27" s="4" t="str">
        <f aca="false">IF(M27="","",WORKDAY(M27,30))</f>
        <v/>
      </c>
      <c r="Q27" s="4" t="str">
        <f aca="true">IF(M27="","",IF(OR(T27="Sim",COUNTIF({"FECHADO";"Perdido";"Descartado"},L27)&gt;0),"",IF(TODAY()&lt;N27,N27,IF(TODAY()&lt;O27,O27,IF(TODAY()&lt;=P27,P27,"")))))</f>
        <v/>
      </c>
      <c r="R27" s="3" t="str">
        <f aca="true">IF(C27="","",IF(COUNTIF({"FECHADO";"Perdido";"Descartado"},L27)&gt;0,"-",IF(M27="","INICIAR",IF(T27="Sim","RESPONDEU",IF(Q27="","ESGOTADO",IF(Q27&lt;TODAY(),"ATRASADO",IF(Q27=TODAY(),"HOJE","No prazo")))))))</f>
        <v/>
      </c>
      <c r="S27" s="3" t="str">
        <f aca="true">IF(M27="","",TODAY()-M27)</f>
        <v/>
      </c>
      <c r="T27" s="7"/>
      <c r="U27" s="8"/>
      <c r="V27" s="8"/>
      <c r="W27" s="8"/>
      <c r="X27" s="4"/>
      <c r="Y27" s="5"/>
    </row>
    <row r="28" customFormat="false" ht="15" hidden="false" customHeight="false" outlineLevel="0" collapsed="false">
      <c r="A28" s="9"/>
      <c r="B28" s="10"/>
      <c r="C28" s="5"/>
      <c r="D28" s="5"/>
      <c r="E28" s="5"/>
      <c r="F28" s="5"/>
      <c r="G28" s="5"/>
      <c r="H28" s="5"/>
      <c r="I28" s="9" t="str">
        <f aca="false">IF(H28="","",HYPERLINK("https://wa.me/55"&amp;SUBSTITUTE(SUBSTITUTE(SUBSTITUTE(SUBSTITUTE(H28,"(",""),")",""),"-","")," ",""),"Abrir"))</f>
        <v/>
      </c>
      <c r="J28" s="9"/>
      <c r="K28" s="5"/>
      <c r="L28" s="5"/>
      <c r="M28" s="6"/>
      <c r="N28" s="10" t="str">
        <f aca="false">IF(M28="","",WORKDAY(M28,3))</f>
        <v/>
      </c>
      <c r="O28" s="10" t="str">
        <f aca="false">IF(M28="","",WORKDAY(M28,7))</f>
        <v/>
      </c>
      <c r="P28" s="10" t="str">
        <f aca="false">IF(M28="","",WORKDAY(M28,30))</f>
        <v/>
      </c>
      <c r="Q28" s="10" t="str">
        <f aca="true">IF(M28="","",IF(OR(T28="Sim",COUNTIF({"FECHADO";"Perdido";"Descartado"},L28)&gt;0),"",IF(TODAY()&lt;N28,N28,IF(TODAY()&lt;O28,O28,IF(TODAY()&lt;=P28,P28,"")))))</f>
        <v/>
      </c>
      <c r="R28" s="9" t="str">
        <f aca="true">IF(C28="","",IF(COUNTIF({"FECHADO";"Perdido";"Descartado"},L28)&gt;0,"-",IF(M28="","INICIAR",IF(T28="Sim","RESPONDEU",IF(Q28="","ESGOTADO",IF(Q28&lt;TODAY(),"ATRASADO",IF(Q28=TODAY(),"HOJE","No prazo")))))))</f>
        <v/>
      </c>
      <c r="S28" s="9" t="str">
        <f aca="true">IF(M28="","",TODAY()-M28)</f>
        <v/>
      </c>
      <c r="T28" s="7"/>
      <c r="U28" s="11"/>
      <c r="V28" s="11"/>
      <c r="W28" s="11"/>
      <c r="X28" s="10"/>
      <c r="Y28" s="5"/>
    </row>
    <row r="29" customFormat="false" ht="15" hidden="false" customHeight="false" outlineLevel="0" collapsed="false">
      <c r="A29" s="3"/>
      <c r="B29" s="4"/>
      <c r="C29" s="5"/>
      <c r="D29" s="5"/>
      <c r="E29" s="5"/>
      <c r="F29" s="5"/>
      <c r="G29" s="5"/>
      <c r="H29" s="5"/>
      <c r="I29" s="3" t="str">
        <f aca="false">IF(H29="","",HYPERLINK("https://wa.me/55"&amp;SUBSTITUTE(SUBSTITUTE(SUBSTITUTE(SUBSTITUTE(H29,"(",""),")",""),"-","")," ",""),"Abrir"))</f>
        <v/>
      </c>
      <c r="J29" s="3"/>
      <c r="K29" s="5"/>
      <c r="L29" s="5"/>
      <c r="M29" s="6"/>
      <c r="N29" s="4" t="str">
        <f aca="false">IF(M29="","",WORKDAY(M29,3))</f>
        <v/>
      </c>
      <c r="O29" s="4" t="str">
        <f aca="false">IF(M29="","",WORKDAY(M29,7))</f>
        <v/>
      </c>
      <c r="P29" s="4" t="str">
        <f aca="false">IF(M29="","",WORKDAY(M29,30))</f>
        <v/>
      </c>
      <c r="Q29" s="4" t="str">
        <f aca="true">IF(M29="","",IF(OR(T29="Sim",COUNTIF({"FECHADO";"Perdido";"Descartado"},L29)&gt;0),"",IF(TODAY()&lt;N29,N29,IF(TODAY()&lt;O29,O29,IF(TODAY()&lt;=P29,P29,"")))))</f>
        <v/>
      </c>
      <c r="R29" s="3" t="str">
        <f aca="true">IF(C29="","",IF(COUNTIF({"FECHADO";"Perdido";"Descartado"},L29)&gt;0,"-",IF(M29="","INICIAR",IF(T29="Sim","RESPONDEU",IF(Q29="","ESGOTADO",IF(Q29&lt;TODAY(),"ATRASADO",IF(Q29=TODAY(),"HOJE","No prazo")))))))</f>
        <v/>
      </c>
      <c r="S29" s="3" t="str">
        <f aca="true">IF(M29="","",TODAY()-M29)</f>
        <v/>
      </c>
      <c r="T29" s="7"/>
      <c r="U29" s="8"/>
      <c r="V29" s="8"/>
      <c r="W29" s="8"/>
      <c r="X29" s="4"/>
      <c r="Y29" s="5"/>
    </row>
    <row r="30" customFormat="false" ht="15" hidden="false" customHeight="false" outlineLevel="0" collapsed="false">
      <c r="A30" s="9"/>
      <c r="B30" s="10"/>
      <c r="C30" s="5"/>
      <c r="D30" s="5"/>
      <c r="E30" s="5"/>
      <c r="F30" s="5"/>
      <c r="G30" s="5"/>
      <c r="H30" s="5"/>
      <c r="I30" s="9" t="str">
        <f aca="false">IF(H30="","",HYPERLINK("https://wa.me/55"&amp;SUBSTITUTE(SUBSTITUTE(SUBSTITUTE(SUBSTITUTE(H30,"(",""),")",""),"-","")," ",""),"Abrir"))</f>
        <v/>
      </c>
      <c r="J30" s="9"/>
      <c r="K30" s="5"/>
      <c r="L30" s="5"/>
      <c r="M30" s="6"/>
      <c r="N30" s="10" t="str">
        <f aca="false">IF(M30="","",WORKDAY(M30,3))</f>
        <v/>
      </c>
      <c r="O30" s="10" t="str">
        <f aca="false">IF(M30="","",WORKDAY(M30,7))</f>
        <v/>
      </c>
      <c r="P30" s="10" t="str">
        <f aca="false">IF(M30="","",WORKDAY(M30,30))</f>
        <v/>
      </c>
      <c r="Q30" s="10" t="str">
        <f aca="true">IF(M30="","",IF(OR(T30="Sim",COUNTIF({"FECHADO";"Perdido";"Descartado"},L30)&gt;0),"",IF(TODAY()&lt;N30,N30,IF(TODAY()&lt;O30,O30,IF(TODAY()&lt;=P30,P30,"")))))</f>
        <v/>
      </c>
      <c r="R30" s="9" t="str">
        <f aca="true">IF(C30="","",IF(COUNTIF({"FECHADO";"Perdido";"Descartado"},L30)&gt;0,"-",IF(M30="","INICIAR",IF(T30="Sim","RESPONDEU",IF(Q30="","ESGOTADO",IF(Q30&lt;TODAY(),"ATRASADO",IF(Q30=TODAY(),"HOJE","No prazo")))))))</f>
        <v/>
      </c>
      <c r="S30" s="9" t="str">
        <f aca="true">IF(M30="","",TODAY()-M30)</f>
        <v/>
      </c>
      <c r="T30" s="7"/>
      <c r="U30" s="11"/>
      <c r="V30" s="11"/>
      <c r="W30" s="11"/>
      <c r="X30" s="10"/>
      <c r="Y30" s="5"/>
    </row>
    <row r="31" customFormat="false" ht="15" hidden="false" customHeight="false" outlineLevel="0" collapsed="false">
      <c r="A31" s="3"/>
      <c r="B31" s="4"/>
      <c r="C31" s="5"/>
      <c r="D31" s="5"/>
      <c r="E31" s="5"/>
      <c r="F31" s="5"/>
      <c r="G31" s="5"/>
      <c r="H31" s="5"/>
      <c r="I31" s="3" t="str">
        <f aca="false">IF(H31="","",HYPERLINK("https://wa.me/55"&amp;SUBSTITUTE(SUBSTITUTE(SUBSTITUTE(SUBSTITUTE(H31,"(",""),")",""),"-","")," ",""),"Abrir"))</f>
        <v/>
      </c>
      <c r="J31" s="3"/>
      <c r="K31" s="5"/>
      <c r="L31" s="5"/>
      <c r="M31" s="6"/>
      <c r="N31" s="4" t="str">
        <f aca="false">IF(M31="","",WORKDAY(M31,3))</f>
        <v/>
      </c>
      <c r="O31" s="4" t="str">
        <f aca="false">IF(M31="","",WORKDAY(M31,7))</f>
        <v/>
      </c>
      <c r="P31" s="4" t="str">
        <f aca="false">IF(M31="","",WORKDAY(M31,30))</f>
        <v/>
      </c>
      <c r="Q31" s="4" t="str">
        <f aca="true">IF(M31="","",IF(OR(T31="Sim",COUNTIF({"FECHADO";"Perdido";"Descartado"},L31)&gt;0),"",IF(TODAY()&lt;N31,N31,IF(TODAY()&lt;O31,O31,IF(TODAY()&lt;=P31,P31,"")))))</f>
        <v/>
      </c>
      <c r="R31" s="3" t="str">
        <f aca="true">IF(C31="","",IF(COUNTIF({"FECHADO";"Perdido";"Descartado"},L31)&gt;0,"-",IF(M31="","INICIAR",IF(T31="Sim","RESPONDEU",IF(Q31="","ESGOTADO",IF(Q31&lt;TODAY(),"ATRASADO",IF(Q31=TODAY(),"HOJE","No prazo")))))))</f>
        <v/>
      </c>
      <c r="S31" s="3" t="str">
        <f aca="true">IF(M31="","",TODAY()-M31)</f>
        <v/>
      </c>
      <c r="T31" s="7"/>
      <c r="U31" s="8"/>
      <c r="V31" s="8"/>
      <c r="W31" s="8"/>
      <c r="X31" s="4"/>
      <c r="Y31" s="5"/>
    </row>
    <row r="32" customFormat="false" ht="15" hidden="false" customHeight="false" outlineLevel="0" collapsed="false">
      <c r="A32" s="9"/>
      <c r="B32" s="10"/>
      <c r="C32" s="5"/>
      <c r="D32" s="5"/>
      <c r="E32" s="5"/>
      <c r="F32" s="5"/>
      <c r="G32" s="5"/>
      <c r="H32" s="5"/>
      <c r="I32" s="9" t="str">
        <f aca="false">IF(H32="","",HYPERLINK("https://wa.me/55"&amp;SUBSTITUTE(SUBSTITUTE(SUBSTITUTE(SUBSTITUTE(H32,"(",""),")",""),"-","")," ",""),"Abrir"))</f>
        <v/>
      </c>
      <c r="J32" s="9"/>
      <c r="K32" s="5"/>
      <c r="L32" s="5"/>
      <c r="M32" s="6"/>
      <c r="N32" s="10" t="str">
        <f aca="false">IF(M32="","",WORKDAY(M32,3))</f>
        <v/>
      </c>
      <c r="O32" s="10" t="str">
        <f aca="false">IF(M32="","",WORKDAY(M32,7))</f>
        <v/>
      </c>
      <c r="P32" s="10" t="str">
        <f aca="false">IF(M32="","",WORKDAY(M32,30))</f>
        <v/>
      </c>
      <c r="Q32" s="10" t="str">
        <f aca="true">IF(M32="","",IF(OR(T32="Sim",COUNTIF({"FECHADO";"Perdido";"Descartado"},L32)&gt;0),"",IF(TODAY()&lt;N32,N32,IF(TODAY()&lt;O32,O32,IF(TODAY()&lt;=P32,P32,"")))))</f>
        <v/>
      </c>
      <c r="R32" s="9" t="str">
        <f aca="true">IF(C32="","",IF(COUNTIF({"FECHADO";"Perdido";"Descartado"},L32)&gt;0,"-",IF(M32="","INICIAR",IF(T32="Sim","RESPONDEU",IF(Q32="","ESGOTADO",IF(Q32&lt;TODAY(),"ATRASADO",IF(Q32=TODAY(),"HOJE","No prazo")))))))</f>
        <v/>
      </c>
      <c r="S32" s="9" t="str">
        <f aca="true">IF(M32="","",TODAY()-M32)</f>
        <v/>
      </c>
      <c r="T32" s="7"/>
      <c r="U32" s="11"/>
      <c r="V32" s="11"/>
      <c r="W32" s="11"/>
      <c r="X32" s="10"/>
      <c r="Y32" s="5"/>
    </row>
    <row r="33" customFormat="false" ht="15" hidden="false" customHeight="false" outlineLevel="0" collapsed="false">
      <c r="A33" s="3"/>
      <c r="B33" s="4"/>
      <c r="C33" s="5"/>
      <c r="D33" s="5"/>
      <c r="E33" s="5"/>
      <c r="F33" s="5"/>
      <c r="G33" s="5"/>
      <c r="H33" s="5"/>
      <c r="I33" s="3" t="str">
        <f aca="false">IF(H33="","",HYPERLINK("https://wa.me/55"&amp;SUBSTITUTE(SUBSTITUTE(SUBSTITUTE(SUBSTITUTE(H33,"(",""),")",""),"-","")," ",""),"Abrir"))</f>
        <v/>
      </c>
      <c r="J33" s="3"/>
      <c r="K33" s="5"/>
      <c r="L33" s="5"/>
      <c r="M33" s="6"/>
      <c r="N33" s="4" t="str">
        <f aca="false">IF(M33="","",WORKDAY(M33,3))</f>
        <v/>
      </c>
      <c r="O33" s="4" t="str">
        <f aca="false">IF(M33="","",WORKDAY(M33,7))</f>
        <v/>
      </c>
      <c r="P33" s="4" t="str">
        <f aca="false">IF(M33="","",WORKDAY(M33,30))</f>
        <v/>
      </c>
      <c r="Q33" s="4" t="str">
        <f aca="true">IF(M33="","",IF(OR(T33="Sim",COUNTIF({"FECHADO";"Perdido";"Descartado"},L33)&gt;0),"",IF(TODAY()&lt;N33,N33,IF(TODAY()&lt;O33,O33,IF(TODAY()&lt;=P33,P33,"")))))</f>
        <v/>
      </c>
      <c r="R33" s="3" t="str">
        <f aca="true">IF(C33="","",IF(COUNTIF({"FECHADO";"Perdido";"Descartado"},L33)&gt;0,"-",IF(M33="","INICIAR",IF(T33="Sim","RESPONDEU",IF(Q33="","ESGOTADO",IF(Q33&lt;TODAY(),"ATRASADO",IF(Q33=TODAY(),"HOJE","No prazo")))))))</f>
        <v/>
      </c>
      <c r="S33" s="3" t="str">
        <f aca="true">IF(M33="","",TODAY()-M33)</f>
        <v/>
      </c>
      <c r="T33" s="7"/>
      <c r="U33" s="8"/>
      <c r="V33" s="8"/>
      <c r="W33" s="8"/>
      <c r="X33" s="4"/>
      <c r="Y33" s="5"/>
    </row>
    <row r="34" customFormat="false" ht="15" hidden="false" customHeight="false" outlineLevel="0" collapsed="false">
      <c r="A34" s="9"/>
      <c r="B34" s="10"/>
      <c r="C34" s="5"/>
      <c r="D34" s="5"/>
      <c r="E34" s="5"/>
      <c r="F34" s="5"/>
      <c r="G34" s="5"/>
      <c r="H34" s="5"/>
      <c r="I34" s="9" t="str">
        <f aca="false">IF(H34="","",HYPERLINK("https://wa.me/55"&amp;SUBSTITUTE(SUBSTITUTE(SUBSTITUTE(SUBSTITUTE(H34,"(",""),")",""),"-","")," ",""),"Abrir"))</f>
        <v/>
      </c>
      <c r="J34" s="9"/>
      <c r="K34" s="5"/>
      <c r="L34" s="5"/>
      <c r="M34" s="6"/>
      <c r="N34" s="10" t="str">
        <f aca="false">IF(M34="","",WORKDAY(M34,3))</f>
        <v/>
      </c>
      <c r="O34" s="10" t="str">
        <f aca="false">IF(M34="","",WORKDAY(M34,7))</f>
        <v/>
      </c>
      <c r="P34" s="10" t="str">
        <f aca="false">IF(M34="","",WORKDAY(M34,30))</f>
        <v/>
      </c>
      <c r="Q34" s="10" t="str">
        <f aca="true">IF(M34="","",IF(OR(T34="Sim",COUNTIF({"FECHADO";"Perdido";"Descartado"},L34)&gt;0),"",IF(TODAY()&lt;N34,N34,IF(TODAY()&lt;O34,O34,IF(TODAY()&lt;=P34,P34,"")))))</f>
        <v/>
      </c>
      <c r="R34" s="9" t="str">
        <f aca="true">IF(C34="","",IF(COUNTIF({"FECHADO";"Perdido";"Descartado"},L34)&gt;0,"-",IF(M34="","INICIAR",IF(T34="Sim","RESPONDEU",IF(Q34="","ESGOTADO",IF(Q34&lt;TODAY(),"ATRASADO",IF(Q34=TODAY(),"HOJE","No prazo")))))))</f>
        <v/>
      </c>
      <c r="S34" s="9" t="str">
        <f aca="true">IF(M34="","",TODAY()-M34)</f>
        <v/>
      </c>
      <c r="T34" s="7"/>
      <c r="U34" s="11"/>
      <c r="V34" s="11"/>
      <c r="W34" s="11"/>
      <c r="X34" s="10"/>
      <c r="Y34" s="5"/>
    </row>
    <row r="35" customFormat="false" ht="15" hidden="false" customHeight="false" outlineLevel="0" collapsed="false">
      <c r="A35" s="3"/>
      <c r="B35" s="4"/>
      <c r="C35" s="5"/>
      <c r="D35" s="5"/>
      <c r="E35" s="5"/>
      <c r="F35" s="5"/>
      <c r="G35" s="5"/>
      <c r="H35" s="5"/>
      <c r="I35" s="3" t="str">
        <f aca="false">IF(H35="","",HYPERLINK("https://wa.me/55"&amp;SUBSTITUTE(SUBSTITUTE(SUBSTITUTE(SUBSTITUTE(H35,"(",""),")",""),"-","")," ",""),"Abrir"))</f>
        <v/>
      </c>
      <c r="J35" s="3"/>
      <c r="K35" s="5"/>
      <c r="L35" s="5"/>
      <c r="M35" s="6"/>
      <c r="N35" s="4" t="str">
        <f aca="false">IF(M35="","",WORKDAY(M35,3))</f>
        <v/>
      </c>
      <c r="O35" s="4" t="str">
        <f aca="false">IF(M35="","",WORKDAY(M35,7))</f>
        <v/>
      </c>
      <c r="P35" s="4" t="str">
        <f aca="false">IF(M35="","",WORKDAY(M35,30))</f>
        <v/>
      </c>
      <c r="Q35" s="4" t="str">
        <f aca="true">IF(M35="","",IF(OR(T35="Sim",COUNTIF({"FECHADO";"Perdido";"Descartado"},L35)&gt;0),"",IF(TODAY()&lt;N35,N35,IF(TODAY()&lt;O35,O35,IF(TODAY()&lt;=P35,P35,"")))))</f>
        <v/>
      </c>
      <c r="R35" s="3" t="str">
        <f aca="true">IF(C35="","",IF(COUNTIF({"FECHADO";"Perdido";"Descartado"},L35)&gt;0,"-",IF(M35="","INICIAR",IF(T35="Sim","RESPONDEU",IF(Q35="","ESGOTADO",IF(Q35&lt;TODAY(),"ATRASADO",IF(Q35=TODAY(),"HOJE","No prazo")))))))</f>
        <v/>
      </c>
      <c r="S35" s="3" t="str">
        <f aca="true">IF(M35="","",TODAY()-M35)</f>
        <v/>
      </c>
      <c r="T35" s="7"/>
      <c r="U35" s="8"/>
      <c r="V35" s="8"/>
      <c r="W35" s="8"/>
      <c r="X35" s="4"/>
      <c r="Y35" s="5"/>
    </row>
    <row r="36" customFormat="false" ht="15" hidden="false" customHeight="false" outlineLevel="0" collapsed="false">
      <c r="A36" s="9"/>
      <c r="B36" s="10"/>
      <c r="C36" s="5"/>
      <c r="D36" s="5"/>
      <c r="E36" s="5"/>
      <c r="F36" s="5"/>
      <c r="G36" s="5"/>
      <c r="H36" s="5"/>
      <c r="I36" s="9" t="str">
        <f aca="false">IF(H36="","",HYPERLINK("https://wa.me/55"&amp;SUBSTITUTE(SUBSTITUTE(SUBSTITUTE(SUBSTITUTE(H36,"(",""),")",""),"-","")," ",""),"Abrir"))</f>
        <v/>
      </c>
      <c r="J36" s="9"/>
      <c r="K36" s="5"/>
      <c r="L36" s="5"/>
      <c r="M36" s="6"/>
      <c r="N36" s="10" t="str">
        <f aca="false">IF(M36="","",WORKDAY(M36,3))</f>
        <v/>
      </c>
      <c r="O36" s="10" t="str">
        <f aca="false">IF(M36="","",WORKDAY(M36,7))</f>
        <v/>
      </c>
      <c r="P36" s="10" t="str">
        <f aca="false">IF(M36="","",WORKDAY(M36,30))</f>
        <v/>
      </c>
      <c r="Q36" s="10" t="str">
        <f aca="true">IF(M36="","",IF(OR(T36="Sim",COUNTIF({"FECHADO";"Perdido";"Descartado"},L36)&gt;0),"",IF(TODAY()&lt;N36,N36,IF(TODAY()&lt;O36,O36,IF(TODAY()&lt;=P36,P36,"")))))</f>
        <v/>
      </c>
      <c r="R36" s="9" t="str">
        <f aca="true">IF(C36="","",IF(COUNTIF({"FECHADO";"Perdido";"Descartado"},L36)&gt;0,"-",IF(M36="","INICIAR",IF(T36="Sim","RESPONDEU",IF(Q36="","ESGOTADO",IF(Q36&lt;TODAY(),"ATRASADO",IF(Q36=TODAY(),"HOJE","No prazo")))))))</f>
        <v/>
      </c>
      <c r="S36" s="9" t="str">
        <f aca="true">IF(M36="","",TODAY()-M36)</f>
        <v/>
      </c>
      <c r="T36" s="7"/>
      <c r="U36" s="11"/>
      <c r="V36" s="11"/>
      <c r="W36" s="11"/>
      <c r="X36" s="10"/>
      <c r="Y36" s="5"/>
    </row>
    <row r="37" customFormat="false" ht="15" hidden="false" customHeight="false" outlineLevel="0" collapsed="false">
      <c r="A37" s="3"/>
      <c r="B37" s="4"/>
      <c r="C37" s="5"/>
      <c r="D37" s="5"/>
      <c r="E37" s="5"/>
      <c r="F37" s="5"/>
      <c r="G37" s="5"/>
      <c r="H37" s="5"/>
      <c r="I37" s="3" t="str">
        <f aca="false">IF(H37="","",HYPERLINK("https://wa.me/55"&amp;SUBSTITUTE(SUBSTITUTE(SUBSTITUTE(SUBSTITUTE(H37,"(",""),")",""),"-","")," ",""),"Abrir"))</f>
        <v/>
      </c>
      <c r="J37" s="3"/>
      <c r="K37" s="5"/>
      <c r="L37" s="5"/>
      <c r="M37" s="6"/>
      <c r="N37" s="4" t="str">
        <f aca="false">IF(M37="","",WORKDAY(M37,3))</f>
        <v/>
      </c>
      <c r="O37" s="4" t="str">
        <f aca="false">IF(M37="","",WORKDAY(M37,7))</f>
        <v/>
      </c>
      <c r="P37" s="4" t="str">
        <f aca="false">IF(M37="","",WORKDAY(M37,30))</f>
        <v/>
      </c>
      <c r="Q37" s="4" t="str">
        <f aca="true">IF(M37="","",IF(OR(T37="Sim",COUNTIF({"FECHADO";"Perdido";"Descartado"},L37)&gt;0),"",IF(TODAY()&lt;N37,N37,IF(TODAY()&lt;O37,O37,IF(TODAY()&lt;=P37,P37,"")))))</f>
        <v/>
      </c>
      <c r="R37" s="3" t="str">
        <f aca="true">IF(C37="","",IF(COUNTIF({"FECHADO";"Perdido";"Descartado"},L37)&gt;0,"-",IF(M37="","INICIAR",IF(T37="Sim","RESPONDEU",IF(Q37="","ESGOTADO",IF(Q37&lt;TODAY(),"ATRASADO",IF(Q37=TODAY(),"HOJE","No prazo")))))))</f>
        <v/>
      </c>
      <c r="S37" s="3" t="str">
        <f aca="true">IF(M37="","",TODAY()-M37)</f>
        <v/>
      </c>
      <c r="T37" s="7"/>
      <c r="U37" s="8"/>
      <c r="V37" s="8"/>
      <c r="W37" s="8"/>
      <c r="X37" s="4"/>
      <c r="Y37" s="5"/>
    </row>
    <row r="38" customFormat="false" ht="15" hidden="false" customHeight="false" outlineLevel="0" collapsed="false">
      <c r="A38" s="9"/>
      <c r="B38" s="10"/>
      <c r="C38" s="5"/>
      <c r="D38" s="5"/>
      <c r="E38" s="5"/>
      <c r="F38" s="5"/>
      <c r="G38" s="5"/>
      <c r="H38" s="5"/>
      <c r="I38" s="9" t="str">
        <f aca="false">IF(H38="","",HYPERLINK("https://wa.me/55"&amp;SUBSTITUTE(SUBSTITUTE(SUBSTITUTE(SUBSTITUTE(H38,"(",""),")",""),"-","")," ",""),"Abrir"))</f>
        <v/>
      </c>
      <c r="J38" s="9"/>
      <c r="K38" s="5"/>
      <c r="L38" s="5"/>
      <c r="M38" s="6"/>
      <c r="N38" s="10" t="str">
        <f aca="false">IF(M38="","",WORKDAY(M38,3))</f>
        <v/>
      </c>
      <c r="O38" s="10" t="str">
        <f aca="false">IF(M38="","",WORKDAY(M38,7))</f>
        <v/>
      </c>
      <c r="P38" s="10" t="str">
        <f aca="false">IF(M38="","",WORKDAY(M38,30))</f>
        <v/>
      </c>
      <c r="Q38" s="10" t="str">
        <f aca="true">IF(M38="","",IF(OR(T38="Sim",COUNTIF({"FECHADO";"Perdido";"Descartado"},L38)&gt;0),"",IF(TODAY()&lt;N38,N38,IF(TODAY()&lt;O38,O38,IF(TODAY()&lt;=P38,P38,"")))))</f>
        <v/>
      </c>
      <c r="R38" s="9" t="str">
        <f aca="true">IF(C38="","",IF(COUNTIF({"FECHADO";"Perdido";"Descartado"},L38)&gt;0,"-",IF(M38="","INICIAR",IF(T38="Sim","RESPONDEU",IF(Q38="","ESGOTADO",IF(Q38&lt;TODAY(),"ATRASADO",IF(Q38=TODAY(),"HOJE","No prazo")))))))</f>
        <v/>
      </c>
      <c r="S38" s="9" t="str">
        <f aca="true">IF(M38="","",TODAY()-M38)</f>
        <v/>
      </c>
      <c r="T38" s="7"/>
      <c r="U38" s="11"/>
      <c r="V38" s="11"/>
      <c r="W38" s="11"/>
      <c r="X38" s="10"/>
      <c r="Y38" s="5"/>
    </row>
    <row r="39" customFormat="false" ht="15" hidden="false" customHeight="false" outlineLevel="0" collapsed="false">
      <c r="A39" s="3"/>
      <c r="B39" s="4"/>
      <c r="C39" s="5"/>
      <c r="D39" s="5"/>
      <c r="E39" s="5"/>
      <c r="F39" s="5"/>
      <c r="G39" s="5"/>
      <c r="H39" s="5"/>
      <c r="I39" s="3" t="str">
        <f aca="false">IF(H39="","",HYPERLINK("https://wa.me/55"&amp;SUBSTITUTE(SUBSTITUTE(SUBSTITUTE(SUBSTITUTE(H39,"(",""),")",""),"-","")," ",""),"Abrir"))</f>
        <v/>
      </c>
      <c r="J39" s="3"/>
      <c r="K39" s="5"/>
      <c r="L39" s="5"/>
      <c r="M39" s="6"/>
      <c r="N39" s="4" t="str">
        <f aca="false">IF(M39="","",WORKDAY(M39,3))</f>
        <v/>
      </c>
      <c r="O39" s="4" t="str">
        <f aca="false">IF(M39="","",WORKDAY(M39,7))</f>
        <v/>
      </c>
      <c r="P39" s="4" t="str">
        <f aca="false">IF(M39="","",WORKDAY(M39,30))</f>
        <v/>
      </c>
      <c r="Q39" s="4" t="str">
        <f aca="true">IF(M39="","",IF(OR(T39="Sim",COUNTIF({"FECHADO";"Perdido";"Descartado"},L39)&gt;0),"",IF(TODAY()&lt;N39,N39,IF(TODAY()&lt;O39,O39,IF(TODAY()&lt;=P39,P39,"")))))</f>
        <v/>
      </c>
      <c r="R39" s="3" t="str">
        <f aca="true">IF(C39="","",IF(COUNTIF({"FECHADO";"Perdido";"Descartado"},L39)&gt;0,"-",IF(M39="","INICIAR",IF(T39="Sim","RESPONDEU",IF(Q39="","ESGOTADO",IF(Q39&lt;TODAY(),"ATRASADO",IF(Q39=TODAY(),"HOJE","No prazo")))))))</f>
        <v/>
      </c>
      <c r="S39" s="3" t="str">
        <f aca="true">IF(M39="","",TODAY()-M39)</f>
        <v/>
      </c>
      <c r="T39" s="7"/>
      <c r="U39" s="8"/>
      <c r="V39" s="8"/>
      <c r="W39" s="8"/>
      <c r="X39" s="4"/>
      <c r="Y39" s="5"/>
    </row>
    <row r="40" customFormat="false" ht="15" hidden="false" customHeight="false" outlineLevel="0" collapsed="false">
      <c r="A40" s="9"/>
      <c r="B40" s="10"/>
      <c r="C40" s="5"/>
      <c r="D40" s="5"/>
      <c r="E40" s="5"/>
      <c r="F40" s="5"/>
      <c r="G40" s="5"/>
      <c r="H40" s="5"/>
      <c r="I40" s="9" t="str">
        <f aca="false">IF(H40="","",HYPERLINK("https://wa.me/55"&amp;SUBSTITUTE(SUBSTITUTE(SUBSTITUTE(SUBSTITUTE(H40,"(",""),")",""),"-","")," ",""),"Abrir"))</f>
        <v/>
      </c>
      <c r="J40" s="9"/>
      <c r="K40" s="5"/>
      <c r="L40" s="5"/>
      <c r="M40" s="6"/>
      <c r="N40" s="10" t="str">
        <f aca="false">IF(M40="","",WORKDAY(M40,3))</f>
        <v/>
      </c>
      <c r="O40" s="10" t="str">
        <f aca="false">IF(M40="","",WORKDAY(M40,7))</f>
        <v/>
      </c>
      <c r="P40" s="10" t="str">
        <f aca="false">IF(M40="","",WORKDAY(M40,30))</f>
        <v/>
      </c>
      <c r="Q40" s="10" t="str">
        <f aca="true">IF(M40="","",IF(OR(T40="Sim",COUNTIF({"FECHADO";"Perdido";"Descartado"},L40)&gt;0),"",IF(TODAY()&lt;N40,N40,IF(TODAY()&lt;O40,O40,IF(TODAY()&lt;=P40,P40,"")))))</f>
        <v/>
      </c>
      <c r="R40" s="9" t="str">
        <f aca="true">IF(C40="","",IF(COUNTIF({"FECHADO";"Perdido";"Descartado"},L40)&gt;0,"-",IF(M40="","INICIAR",IF(T40="Sim","RESPONDEU",IF(Q40="","ESGOTADO",IF(Q40&lt;TODAY(),"ATRASADO",IF(Q40=TODAY(),"HOJE","No prazo")))))))</f>
        <v/>
      </c>
      <c r="S40" s="9" t="str">
        <f aca="true">IF(M40="","",TODAY()-M40)</f>
        <v/>
      </c>
      <c r="T40" s="7"/>
      <c r="U40" s="11"/>
      <c r="V40" s="11"/>
      <c r="W40" s="11"/>
      <c r="X40" s="10"/>
      <c r="Y40" s="5"/>
    </row>
    <row r="41" customFormat="false" ht="15" hidden="false" customHeight="false" outlineLevel="0" collapsed="false">
      <c r="A41" s="3"/>
      <c r="B41" s="4"/>
      <c r="C41" s="5"/>
      <c r="D41" s="5"/>
      <c r="E41" s="5"/>
      <c r="F41" s="5"/>
      <c r="G41" s="5"/>
      <c r="H41" s="5"/>
      <c r="I41" s="3" t="str">
        <f aca="false">IF(H41="","",HYPERLINK("https://wa.me/55"&amp;SUBSTITUTE(SUBSTITUTE(SUBSTITUTE(SUBSTITUTE(H41,"(",""),")",""),"-","")," ",""),"Abrir"))</f>
        <v/>
      </c>
      <c r="J41" s="3"/>
      <c r="K41" s="5"/>
      <c r="L41" s="5"/>
      <c r="M41" s="6"/>
      <c r="N41" s="4" t="str">
        <f aca="false">IF(M41="","",WORKDAY(M41,3))</f>
        <v/>
      </c>
      <c r="O41" s="4" t="str">
        <f aca="false">IF(M41="","",WORKDAY(M41,7))</f>
        <v/>
      </c>
      <c r="P41" s="4" t="str">
        <f aca="false">IF(M41="","",WORKDAY(M41,30))</f>
        <v/>
      </c>
      <c r="Q41" s="4" t="str">
        <f aca="true">IF(M41="","",IF(OR(T41="Sim",COUNTIF({"FECHADO";"Perdido";"Descartado"},L41)&gt;0),"",IF(TODAY()&lt;N41,N41,IF(TODAY()&lt;O41,O41,IF(TODAY()&lt;=P41,P41,"")))))</f>
        <v/>
      </c>
      <c r="R41" s="3" t="str">
        <f aca="true">IF(C41="","",IF(COUNTIF({"FECHADO";"Perdido";"Descartado"},L41)&gt;0,"-",IF(M41="","INICIAR",IF(T41="Sim","RESPONDEU",IF(Q41="","ESGOTADO",IF(Q41&lt;TODAY(),"ATRASADO",IF(Q41=TODAY(),"HOJE","No prazo")))))))</f>
        <v/>
      </c>
      <c r="S41" s="3" t="str">
        <f aca="true">IF(M41="","",TODAY()-M41)</f>
        <v/>
      </c>
      <c r="T41" s="7"/>
      <c r="U41" s="8"/>
      <c r="V41" s="8"/>
      <c r="W41" s="8"/>
      <c r="X41" s="4"/>
      <c r="Y41" s="5"/>
    </row>
    <row r="42" customFormat="false" ht="15" hidden="false" customHeight="false" outlineLevel="0" collapsed="false">
      <c r="A42" s="9"/>
      <c r="B42" s="10"/>
      <c r="C42" s="5"/>
      <c r="D42" s="5"/>
      <c r="E42" s="5"/>
      <c r="F42" s="5"/>
      <c r="G42" s="5"/>
      <c r="H42" s="5"/>
      <c r="I42" s="9" t="str">
        <f aca="false">IF(H42="","",HYPERLINK("https://wa.me/55"&amp;SUBSTITUTE(SUBSTITUTE(SUBSTITUTE(SUBSTITUTE(H42,"(",""),")",""),"-","")," ",""),"Abrir"))</f>
        <v/>
      </c>
      <c r="J42" s="9"/>
      <c r="K42" s="5"/>
      <c r="L42" s="5"/>
      <c r="M42" s="6"/>
      <c r="N42" s="10" t="str">
        <f aca="false">IF(M42="","",WORKDAY(M42,3))</f>
        <v/>
      </c>
      <c r="O42" s="10" t="str">
        <f aca="false">IF(M42="","",WORKDAY(M42,7))</f>
        <v/>
      </c>
      <c r="P42" s="10" t="str">
        <f aca="false">IF(M42="","",WORKDAY(M42,30))</f>
        <v/>
      </c>
      <c r="Q42" s="10" t="str">
        <f aca="true">IF(M42="","",IF(OR(T42="Sim",COUNTIF({"FECHADO";"Perdido";"Descartado"},L42)&gt;0),"",IF(TODAY()&lt;N42,N42,IF(TODAY()&lt;O42,O42,IF(TODAY()&lt;=P42,P42,"")))))</f>
        <v/>
      </c>
      <c r="R42" s="9" t="str">
        <f aca="true">IF(C42="","",IF(COUNTIF({"FECHADO";"Perdido";"Descartado"},L42)&gt;0,"-",IF(M42="","INICIAR",IF(T42="Sim","RESPONDEU",IF(Q42="","ESGOTADO",IF(Q42&lt;TODAY(),"ATRASADO",IF(Q42=TODAY(),"HOJE","No prazo")))))))</f>
        <v/>
      </c>
      <c r="S42" s="9" t="str">
        <f aca="true">IF(M42="","",TODAY()-M42)</f>
        <v/>
      </c>
      <c r="T42" s="7"/>
      <c r="U42" s="11"/>
      <c r="V42" s="11"/>
      <c r="W42" s="11"/>
      <c r="X42" s="10"/>
      <c r="Y42" s="5"/>
    </row>
    <row r="43" customFormat="false" ht="15" hidden="false" customHeight="false" outlineLevel="0" collapsed="false">
      <c r="A43" s="3"/>
      <c r="B43" s="4"/>
      <c r="C43" s="5"/>
      <c r="D43" s="5"/>
      <c r="E43" s="5"/>
      <c r="F43" s="5"/>
      <c r="G43" s="5"/>
      <c r="H43" s="5"/>
      <c r="I43" s="3" t="str">
        <f aca="false">IF(H43="","",HYPERLINK("https://wa.me/55"&amp;SUBSTITUTE(SUBSTITUTE(SUBSTITUTE(SUBSTITUTE(H43,"(",""),")",""),"-","")," ",""),"Abrir"))</f>
        <v/>
      </c>
      <c r="J43" s="3"/>
      <c r="K43" s="5"/>
      <c r="L43" s="5"/>
      <c r="M43" s="6"/>
      <c r="N43" s="4" t="str">
        <f aca="false">IF(M43="","",WORKDAY(M43,3))</f>
        <v/>
      </c>
      <c r="O43" s="4" t="str">
        <f aca="false">IF(M43="","",WORKDAY(M43,7))</f>
        <v/>
      </c>
      <c r="P43" s="4" t="str">
        <f aca="false">IF(M43="","",WORKDAY(M43,30))</f>
        <v/>
      </c>
      <c r="Q43" s="4" t="str">
        <f aca="true">IF(M43="","",IF(OR(T43="Sim",COUNTIF({"FECHADO";"Perdido";"Descartado"},L43)&gt;0),"",IF(TODAY()&lt;N43,N43,IF(TODAY()&lt;O43,O43,IF(TODAY()&lt;=P43,P43,"")))))</f>
        <v/>
      </c>
      <c r="R43" s="3" t="str">
        <f aca="true">IF(C43="","",IF(COUNTIF({"FECHADO";"Perdido";"Descartado"},L43)&gt;0,"-",IF(M43="","INICIAR",IF(T43="Sim","RESPONDEU",IF(Q43="","ESGOTADO",IF(Q43&lt;TODAY(),"ATRASADO",IF(Q43=TODAY(),"HOJE","No prazo")))))))</f>
        <v/>
      </c>
      <c r="S43" s="3" t="str">
        <f aca="true">IF(M43="","",TODAY()-M43)</f>
        <v/>
      </c>
      <c r="T43" s="7"/>
      <c r="U43" s="8"/>
      <c r="V43" s="8"/>
      <c r="W43" s="8"/>
      <c r="X43" s="4"/>
      <c r="Y43" s="5"/>
    </row>
    <row r="44" customFormat="false" ht="15" hidden="false" customHeight="false" outlineLevel="0" collapsed="false">
      <c r="A44" s="9"/>
      <c r="B44" s="10"/>
      <c r="C44" s="5"/>
      <c r="D44" s="5"/>
      <c r="E44" s="5"/>
      <c r="F44" s="5"/>
      <c r="G44" s="5"/>
      <c r="H44" s="5"/>
      <c r="I44" s="9" t="str">
        <f aca="false">IF(H44="","",HYPERLINK("https://wa.me/55"&amp;SUBSTITUTE(SUBSTITUTE(SUBSTITUTE(SUBSTITUTE(H44,"(",""),")",""),"-","")," ",""),"Abrir"))</f>
        <v/>
      </c>
      <c r="J44" s="9"/>
      <c r="K44" s="5"/>
      <c r="L44" s="5"/>
      <c r="M44" s="6"/>
      <c r="N44" s="10" t="str">
        <f aca="false">IF(M44="","",WORKDAY(M44,3))</f>
        <v/>
      </c>
      <c r="O44" s="10" t="str">
        <f aca="false">IF(M44="","",WORKDAY(M44,7))</f>
        <v/>
      </c>
      <c r="P44" s="10" t="str">
        <f aca="false">IF(M44="","",WORKDAY(M44,30))</f>
        <v/>
      </c>
      <c r="Q44" s="10" t="str">
        <f aca="true">IF(M44="","",IF(OR(T44="Sim",COUNTIF({"FECHADO";"Perdido";"Descartado"},L44)&gt;0),"",IF(TODAY()&lt;N44,N44,IF(TODAY()&lt;O44,O44,IF(TODAY()&lt;=P44,P44,"")))))</f>
        <v/>
      </c>
      <c r="R44" s="9" t="str">
        <f aca="true">IF(C44="","",IF(COUNTIF({"FECHADO";"Perdido";"Descartado"},L44)&gt;0,"-",IF(M44="","INICIAR",IF(T44="Sim","RESPONDEU",IF(Q44="","ESGOTADO",IF(Q44&lt;TODAY(),"ATRASADO",IF(Q44=TODAY(),"HOJE","No prazo")))))))</f>
        <v/>
      </c>
      <c r="S44" s="9" t="str">
        <f aca="true">IF(M44="","",TODAY()-M44)</f>
        <v/>
      </c>
      <c r="T44" s="7"/>
      <c r="U44" s="11"/>
      <c r="V44" s="11"/>
      <c r="W44" s="11"/>
      <c r="X44" s="10"/>
      <c r="Y44" s="5"/>
    </row>
    <row r="45" customFormat="false" ht="15" hidden="false" customHeight="false" outlineLevel="0" collapsed="false">
      <c r="A45" s="3"/>
      <c r="B45" s="4"/>
      <c r="C45" s="5"/>
      <c r="D45" s="5"/>
      <c r="E45" s="5"/>
      <c r="F45" s="5"/>
      <c r="G45" s="5"/>
      <c r="H45" s="5"/>
      <c r="I45" s="3" t="str">
        <f aca="false">IF(H45="","",HYPERLINK("https://wa.me/55"&amp;SUBSTITUTE(SUBSTITUTE(SUBSTITUTE(SUBSTITUTE(H45,"(",""),")",""),"-","")," ",""),"Abrir"))</f>
        <v/>
      </c>
      <c r="J45" s="3"/>
      <c r="K45" s="5"/>
      <c r="L45" s="5"/>
      <c r="M45" s="6"/>
      <c r="N45" s="4" t="str">
        <f aca="false">IF(M45="","",WORKDAY(M45,3))</f>
        <v/>
      </c>
      <c r="O45" s="4" t="str">
        <f aca="false">IF(M45="","",WORKDAY(M45,7))</f>
        <v/>
      </c>
      <c r="P45" s="4" t="str">
        <f aca="false">IF(M45="","",WORKDAY(M45,30))</f>
        <v/>
      </c>
      <c r="Q45" s="4" t="str">
        <f aca="true">IF(M45="","",IF(OR(T45="Sim",COUNTIF({"FECHADO";"Perdido";"Descartado"},L45)&gt;0),"",IF(TODAY()&lt;N45,N45,IF(TODAY()&lt;O45,O45,IF(TODAY()&lt;=P45,P45,"")))))</f>
        <v/>
      </c>
      <c r="R45" s="3" t="str">
        <f aca="true">IF(C45="","",IF(COUNTIF({"FECHADO";"Perdido";"Descartado"},L45)&gt;0,"-",IF(M45="","INICIAR",IF(T45="Sim","RESPONDEU",IF(Q45="","ESGOTADO",IF(Q45&lt;TODAY(),"ATRASADO",IF(Q45=TODAY(),"HOJE","No prazo")))))))</f>
        <v/>
      </c>
      <c r="S45" s="3" t="str">
        <f aca="true">IF(M45="","",TODAY()-M45)</f>
        <v/>
      </c>
      <c r="T45" s="7"/>
      <c r="U45" s="8"/>
      <c r="V45" s="8"/>
      <c r="W45" s="8"/>
      <c r="X45" s="4"/>
      <c r="Y45" s="5"/>
    </row>
    <row r="46" customFormat="false" ht="15" hidden="false" customHeight="false" outlineLevel="0" collapsed="false">
      <c r="A46" s="9"/>
      <c r="B46" s="10"/>
      <c r="C46" s="5"/>
      <c r="D46" s="5"/>
      <c r="E46" s="5"/>
      <c r="F46" s="5"/>
      <c r="G46" s="5"/>
      <c r="H46" s="5"/>
      <c r="I46" s="9" t="str">
        <f aca="false">IF(H46="","",HYPERLINK("https://wa.me/55"&amp;SUBSTITUTE(SUBSTITUTE(SUBSTITUTE(SUBSTITUTE(H46,"(",""),")",""),"-","")," ",""),"Abrir"))</f>
        <v/>
      </c>
      <c r="J46" s="9"/>
      <c r="K46" s="5"/>
      <c r="L46" s="5"/>
      <c r="M46" s="6"/>
      <c r="N46" s="10" t="str">
        <f aca="false">IF(M46="","",WORKDAY(M46,3))</f>
        <v/>
      </c>
      <c r="O46" s="10" t="str">
        <f aca="false">IF(M46="","",WORKDAY(M46,7))</f>
        <v/>
      </c>
      <c r="P46" s="10" t="str">
        <f aca="false">IF(M46="","",WORKDAY(M46,30))</f>
        <v/>
      </c>
      <c r="Q46" s="10" t="str">
        <f aca="true">IF(M46="","",IF(OR(T46="Sim",COUNTIF({"FECHADO";"Perdido";"Descartado"},L46)&gt;0),"",IF(TODAY()&lt;N46,N46,IF(TODAY()&lt;O46,O46,IF(TODAY()&lt;=P46,P46,"")))))</f>
        <v/>
      </c>
      <c r="R46" s="9" t="str">
        <f aca="true">IF(C46="","",IF(COUNTIF({"FECHADO";"Perdido";"Descartado"},L46)&gt;0,"-",IF(M46="","INICIAR",IF(T46="Sim","RESPONDEU",IF(Q46="","ESGOTADO",IF(Q46&lt;TODAY(),"ATRASADO",IF(Q46=TODAY(),"HOJE","No prazo")))))))</f>
        <v/>
      </c>
      <c r="S46" s="9" t="str">
        <f aca="true">IF(M46="","",TODAY()-M46)</f>
        <v/>
      </c>
      <c r="T46" s="7"/>
      <c r="U46" s="11"/>
      <c r="V46" s="11"/>
      <c r="W46" s="11"/>
      <c r="X46" s="10"/>
      <c r="Y46" s="5"/>
    </row>
    <row r="47" customFormat="false" ht="15" hidden="false" customHeight="false" outlineLevel="0" collapsed="false">
      <c r="A47" s="3"/>
      <c r="B47" s="4"/>
      <c r="C47" s="5"/>
      <c r="D47" s="5"/>
      <c r="E47" s="5"/>
      <c r="F47" s="5"/>
      <c r="G47" s="5"/>
      <c r="H47" s="5"/>
      <c r="I47" s="3" t="str">
        <f aca="false">IF(H47="","",HYPERLINK("https://wa.me/55"&amp;SUBSTITUTE(SUBSTITUTE(SUBSTITUTE(SUBSTITUTE(H47,"(",""),")",""),"-","")," ",""),"Abrir"))</f>
        <v/>
      </c>
      <c r="J47" s="3"/>
      <c r="K47" s="5"/>
      <c r="L47" s="5"/>
      <c r="M47" s="6"/>
      <c r="N47" s="4" t="str">
        <f aca="false">IF(M47="","",WORKDAY(M47,3))</f>
        <v/>
      </c>
      <c r="O47" s="4" t="str">
        <f aca="false">IF(M47="","",WORKDAY(M47,7))</f>
        <v/>
      </c>
      <c r="P47" s="4" t="str">
        <f aca="false">IF(M47="","",WORKDAY(M47,30))</f>
        <v/>
      </c>
      <c r="Q47" s="4" t="str">
        <f aca="true">IF(M47="","",IF(OR(T47="Sim",COUNTIF({"FECHADO";"Perdido";"Descartado"},L47)&gt;0),"",IF(TODAY()&lt;N47,N47,IF(TODAY()&lt;O47,O47,IF(TODAY()&lt;=P47,P47,"")))))</f>
        <v/>
      </c>
      <c r="R47" s="3" t="str">
        <f aca="true">IF(C47="","",IF(COUNTIF({"FECHADO";"Perdido";"Descartado"},L47)&gt;0,"-",IF(M47="","INICIAR",IF(T47="Sim","RESPONDEU",IF(Q47="","ESGOTADO",IF(Q47&lt;TODAY(),"ATRASADO",IF(Q47=TODAY(),"HOJE","No prazo")))))))</f>
        <v/>
      </c>
      <c r="S47" s="3" t="str">
        <f aca="true">IF(M47="","",TODAY()-M47)</f>
        <v/>
      </c>
      <c r="T47" s="7"/>
      <c r="U47" s="8"/>
      <c r="V47" s="8"/>
      <c r="W47" s="8"/>
      <c r="X47" s="4"/>
      <c r="Y47" s="5"/>
    </row>
    <row r="48" customFormat="false" ht="15" hidden="false" customHeight="false" outlineLevel="0" collapsed="false">
      <c r="A48" s="9"/>
      <c r="B48" s="10"/>
      <c r="C48" s="5"/>
      <c r="D48" s="5"/>
      <c r="E48" s="5"/>
      <c r="F48" s="5"/>
      <c r="G48" s="5"/>
      <c r="H48" s="5"/>
      <c r="I48" s="9" t="str">
        <f aca="false">IF(H48="","",HYPERLINK("https://wa.me/55"&amp;SUBSTITUTE(SUBSTITUTE(SUBSTITUTE(SUBSTITUTE(H48,"(",""),")",""),"-","")," ",""),"Abrir"))</f>
        <v/>
      </c>
      <c r="J48" s="9"/>
      <c r="K48" s="5"/>
      <c r="L48" s="5"/>
      <c r="M48" s="6"/>
      <c r="N48" s="10" t="str">
        <f aca="false">IF(M48="","",WORKDAY(M48,3))</f>
        <v/>
      </c>
      <c r="O48" s="10" t="str">
        <f aca="false">IF(M48="","",WORKDAY(M48,7))</f>
        <v/>
      </c>
      <c r="P48" s="10" t="str">
        <f aca="false">IF(M48="","",WORKDAY(M48,30))</f>
        <v/>
      </c>
      <c r="Q48" s="10" t="str">
        <f aca="true">IF(M48="","",IF(OR(T48="Sim",COUNTIF({"FECHADO";"Perdido";"Descartado"},L48)&gt;0),"",IF(TODAY()&lt;N48,N48,IF(TODAY()&lt;O48,O48,IF(TODAY()&lt;=P48,P48,"")))))</f>
        <v/>
      </c>
      <c r="R48" s="9" t="str">
        <f aca="true">IF(C48="","",IF(COUNTIF({"FECHADO";"Perdido";"Descartado"},L48)&gt;0,"-",IF(M48="","INICIAR",IF(T48="Sim","RESPONDEU",IF(Q48="","ESGOTADO",IF(Q48&lt;TODAY(),"ATRASADO",IF(Q48=TODAY(),"HOJE","No prazo")))))))</f>
        <v/>
      </c>
      <c r="S48" s="9" t="str">
        <f aca="true">IF(M48="","",TODAY()-M48)</f>
        <v/>
      </c>
      <c r="T48" s="7"/>
      <c r="U48" s="11"/>
      <c r="V48" s="11"/>
      <c r="W48" s="11"/>
      <c r="X48" s="10"/>
      <c r="Y48" s="5"/>
    </row>
    <row r="49" customFormat="false" ht="15" hidden="false" customHeight="false" outlineLevel="0" collapsed="false">
      <c r="A49" s="3"/>
      <c r="B49" s="4"/>
      <c r="C49" s="5"/>
      <c r="D49" s="5"/>
      <c r="E49" s="5"/>
      <c r="F49" s="5"/>
      <c r="G49" s="5"/>
      <c r="H49" s="5"/>
      <c r="I49" s="3" t="str">
        <f aca="false">IF(H49="","",HYPERLINK("https://wa.me/55"&amp;SUBSTITUTE(SUBSTITUTE(SUBSTITUTE(SUBSTITUTE(H49,"(",""),")",""),"-","")," ",""),"Abrir"))</f>
        <v/>
      </c>
      <c r="J49" s="3"/>
      <c r="K49" s="5"/>
      <c r="L49" s="5"/>
      <c r="M49" s="6"/>
      <c r="N49" s="4" t="str">
        <f aca="false">IF(M49="","",WORKDAY(M49,3))</f>
        <v/>
      </c>
      <c r="O49" s="4" t="str">
        <f aca="false">IF(M49="","",WORKDAY(M49,7))</f>
        <v/>
      </c>
      <c r="P49" s="4" t="str">
        <f aca="false">IF(M49="","",WORKDAY(M49,30))</f>
        <v/>
      </c>
      <c r="Q49" s="4" t="str">
        <f aca="true">IF(M49="","",IF(OR(T49="Sim",COUNTIF({"FECHADO";"Perdido";"Descartado"},L49)&gt;0),"",IF(TODAY()&lt;N49,N49,IF(TODAY()&lt;O49,O49,IF(TODAY()&lt;=P49,P49,"")))))</f>
        <v/>
      </c>
      <c r="R49" s="3" t="str">
        <f aca="true">IF(C49="","",IF(COUNTIF({"FECHADO";"Perdido";"Descartado"},L49)&gt;0,"-",IF(M49="","INICIAR",IF(T49="Sim","RESPONDEU",IF(Q49="","ESGOTADO",IF(Q49&lt;TODAY(),"ATRASADO",IF(Q49=TODAY(),"HOJE","No prazo")))))))</f>
        <v/>
      </c>
      <c r="S49" s="3" t="str">
        <f aca="true">IF(M49="","",TODAY()-M49)</f>
        <v/>
      </c>
      <c r="T49" s="7"/>
      <c r="U49" s="8"/>
      <c r="V49" s="8"/>
      <c r="W49" s="8"/>
      <c r="X49" s="4"/>
      <c r="Y49" s="5"/>
    </row>
    <row r="50" customFormat="false" ht="15" hidden="false" customHeight="false" outlineLevel="0" collapsed="false">
      <c r="A50" s="9"/>
      <c r="B50" s="10"/>
      <c r="C50" s="5"/>
      <c r="D50" s="5"/>
      <c r="E50" s="5"/>
      <c r="F50" s="5"/>
      <c r="G50" s="5"/>
      <c r="H50" s="5"/>
      <c r="I50" s="9" t="str">
        <f aca="false">IF(H50="","",HYPERLINK("https://wa.me/55"&amp;SUBSTITUTE(SUBSTITUTE(SUBSTITUTE(SUBSTITUTE(H50,"(",""),")",""),"-","")," ",""),"Abrir"))</f>
        <v/>
      </c>
      <c r="J50" s="9"/>
      <c r="K50" s="5"/>
      <c r="L50" s="5"/>
      <c r="M50" s="6"/>
      <c r="N50" s="10" t="str">
        <f aca="false">IF(M50="","",WORKDAY(M50,3))</f>
        <v/>
      </c>
      <c r="O50" s="10" t="str">
        <f aca="false">IF(M50="","",WORKDAY(M50,7))</f>
        <v/>
      </c>
      <c r="P50" s="10" t="str">
        <f aca="false">IF(M50="","",WORKDAY(M50,30))</f>
        <v/>
      </c>
      <c r="Q50" s="10" t="str">
        <f aca="true">IF(M50="","",IF(OR(T50="Sim",COUNTIF({"FECHADO";"Perdido";"Descartado"},L50)&gt;0),"",IF(TODAY()&lt;N50,N50,IF(TODAY()&lt;O50,O50,IF(TODAY()&lt;=P50,P50,"")))))</f>
        <v/>
      </c>
      <c r="R50" s="9" t="str">
        <f aca="true">IF(C50="","",IF(COUNTIF({"FECHADO";"Perdido";"Descartado"},L50)&gt;0,"-",IF(M50="","INICIAR",IF(T50="Sim","RESPONDEU",IF(Q50="","ESGOTADO",IF(Q50&lt;TODAY(),"ATRASADO",IF(Q50=TODAY(),"HOJE","No prazo")))))))</f>
        <v/>
      </c>
      <c r="S50" s="9" t="str">
        <f aca="true">IF(M50="","",TODAY()-M50)</f>
        <v/>
      </c>
      <c r="T50" s="7"/>
      <c r="U50" s="11"/>
      <c r="V50" s="11"/>
      <c r="W50" s="11"/>
      <c r="X50" s="10"/>
      <c r="Y50" s="5"/>
    </row>
    <row r="51" customFormat="false" ht="15" hidden="false" customHeight="false" outlineLevel="0" collapsed="false">
      <c r="A51" s="3"/>
      <c r="B51" s="4"/>
      <c r="C51" s="5"/>
      <c r="D51" s="5"/>
      <c r="E51" s="5"/>
      <c r="F51" s="5"/>
      <c r="G51" s="5"/>
      <c r="H51" s="5"/>
      <c r="I51" s="3" t="str">
        <f aca="false">IF(H51="","",HYPERLINK("https://wa.me/55"&amp;SUBSTITUTE(SUBSTITUTE(SUBSTITUTE(SUBSTITUTE(H51,"(",""),")",""),"-","")," ",""),"Abrir"))</f>
        <v/>
      </c>
      <c r="J51" s="3"/>
      <c r="K51" s="5"/>
      <c r="L51" s="5"/>
      <c r="M51" s="6"/>
      <c r="N51" s="4" t="str">
        <f aca="false">IF(M51="","",WORKDAY(M51,3))</f>
        <v/>
      </c>
      <c r="O51" s="4" t="str">
        <f aca="false">IF(M51="","",WORKDAY(M51,7))</f>
        <v/>
      </c>
      <c r="P51" s="4" t="str">
        <f aca="false">IF(M51="","",WORKDAY(M51,30))</f>
        <v/>
      </c>
      <c r="Q51" s="4" t="str">
        <f aca="true">IF(M51="","",IF(OR(T51="Sim",COUNTIF({"FECHADO";"Perdido";"Descartado"},L51)&gt;0),"",IF(TODAY()&lt;N51,N51,IF(TODAY()&lt;O51,O51,IF(TODAY()&lt;=P51,P51,"")))))</f>
        <v/>
      </c>
      <c r="R51" s="3" t="str">
        <f aca="true">IF(C51="","",IF(COUNTIF({"FECHADO";"Perdido";"Descartado"},L51)&gt;0,"-",IF(M51="","INICIAR",IF(T51="Sim","RESPONDEU",IF(Q51="","ESGOTADO",IF(Q51&lt;TODAY(),"ATRASADO",IF(Q51=TODAY(),"HOJE","No prazo")))))))</f>
        <v/>
      </c>
      <c r="S51" s="3" t="str">
        <f aca="true">IF(M51="","",TODAY()-M51)</f>
        <v/>
      </c>
      <c r="T51" s="7"/>
      <c r="U51" s="8"/>
      <c r="V51" s="8"/>
      <c r="W51" s="8"/>
      <c r="X51" s="4"/>
      <c r="Y51" s="5"/>
    </row>
    <row r="52" customFormat="false" ht="15" hidden="false" customHeight="false" outlineLevel="0" collapsed="false">
      <c r="A52" s="9"/>
      <c r="B52" s="10"/>
      <c r="C52" s="5"/>
      <c r="D52" s="5"/>
      <c r="E52" s="5"/>
      <c r="F52" s="5"/>
      <c r="G52" s="5"/>
      <c r="H52" s="5"/>
      <c r="I52" s="9" t="str">
        <f aca="false">IF(H52="","",HYPERLINK("https://wa.me/55"&amp;SUBSTITUTE(SUBSTITUTE(SUBSTITUTE(SUBSTITUTE(H52,"(",""),")",""),"-","")," ",""),"Abrir"))</f>
        <v/>
      </c>
      <c r="J52" s="9"/>
      <c r="K52" s="5"/>
      <c r="L52" s="5"/>
      <c r="M52" s="6"/>
      <c r="N52" s="10" t="str">
        <f aca="false">IF(M52="","",WORKDAY(M52,3))</f>
        <v/>
      </c>
      <c r="O52" s="10" t="str">
        <f aca="false">IF(M52="","",WORKDAY(M52,7))</f>
        <v/>
      </c>
      <c r="P52" s="10" t="str">
        <f aca="false">IF(M52="","",WORKDAY(M52,30))</f>
        <v/>
      </c>
      <c r="Q52" s="10" t="str">
        <f aca="true">IF(M52="","",IF(OR(T52="Sim",COUNTIF({"FECHADO";"Perdido";"Descartado"},L52)&gt;0),"",IF(TODAY()&lt;N52,N52,IF(TODAY()&lt;O52,O52,IF(TODAY()&lt;=P52,P52,"")))))</f>
        <v/>
      </c>
      <c r="R52" s="9" t="str">
        <f aca="true">IF(C52="","",IF(COUNTIF({"FECHADO";"Perdido";"Descartado"},L52)&gt;0,"-",IF(M52="","INICIAR",IF(T52="Sim","RESPONDEU",IF(Q52="","ESGOTADO",IF(Q52&lt;TODAY(),"ATRASADO",IF(Q52=TODAY(),"HOJE","No prazo")))))))</f>
        <v/>
      </c>
      <c r="S52" s="9" t="str">
        <f aca="true">IF(M52="","",TODAY()-M52)</f>
        <v/>
      </c>
      <c r="T52" s="7"/>
      <c r="U52" s="11"/>
      <c r="V52" s="11"/>
      <c r="W52" s="11"/>
      <c r="X52" s="10"/>
      <c r="Y52" s="5"/>
    </row>
    <row r="53" customFormat="false" ht="15" hidden="false" customHeight="false" outlineLevel="0" collapsed="false">
      <c r="A53" s="3"/>
      <c r="B53" s="4"/>
      <c r="C53" s="5"/>
      <c r="D53" s="5"/>
      <c r="E53" s="5"/>
      <c r="F53" s="5"/>
      <c r="G53" s="5"/>
      <c r="H53" s="5"/>
      <c r="I53" s="3" t="str">
        <f aca="false">IF(H53="","",HYPERLINK("https://wa.me/55"&amp;SUBSTITUTE(SUBSTITUTE(SUBSTITUTE(SUBSTITUTE(H53,"(",""),")",""),"-","")," ",""),"Abrir"))</f>
        <v/>
      </c>
      <c r="J53" s="3"/>
      <c r="K53" s="5"/>
      <c r="L53" s="5"/>
      <c r="M53" s="6"/>
      <c r="N53" s="4" t="str">
        <f aca="false">IF(M53="","",WORKDAY(M53,3))</f>
        <v/>
      </c>
      <c r="O53" s="4" t="str">
        <f aca="false">IF(M53="","",WORKDAY(M53,7))</f>
        <v/>
      </c>
      <c r="P53" s="4" t="str">
        <f aca="false">IF(M53="","",WORKDAY(M53,30))</f>
        <v/>
      </c>
      <c r="Q53" s="4" t="str">
        <f aca="true">IF(M53="","",IF(OR(T53="Sim",COUNTIF({"FECHADO";"Perdido";"Descartado"},L53)&gt;0),"",IF(TODAY()&lt;N53,N53,IF(TODAY()&lt;O53,O53,IF(TODAY()&lt;=P53,P53,"")))))</f>
        <v/>
      </c>
      <c r="R53" s="3" t="str">
        <f aca="true">IF(C53="","",IF(COUNTIF({"FECHADO";"Perdido";"Descartado"},L53)&gt;0,"-",IF(M53="","INICIAR",IF(T53="Sim","RESPONDEU",IF(Q53="","ESGOTADO",IF(Q53&lt;TODAY(),"ATRASADO",IF(Q53=TODAY(),"HOJE","No prazo")))))))</f>
        <v/>
      </c>
      <c r="S53" s="3" t="str">
        <f aca="true">IF(M53="","",TODAY()-M53)</f>
        <v/>
      </c>
      <c r="T53" s="7"/>
      <c r="U53" s="8"/>
      <c r="V53" s="8"/>
      <c r="W53" s="8"/>
      <c r="X53" s="4"/>
      <c r="Y53" s="5"/>
    </row>
    <row r="54" customFormat="false" ht="15" hidden="false" customHeight="false" outlineLevel="0" collapsed="false">
      <c r="A54" s="9"/>
      <c r="B54" s="10"/>
      <c r="C54" s="5"/>
      <c r="D54" s="5"/>
      <c r="E54" s="5"/>
      <c r="F54" s="5"/>
      <c r="G54" s="5"/>
      <c r="H54" s="5"/>
      <c r="I54" s="9" t="str">
        <f aca="false">IF(H54="","",HYPERLINK("https://wa.me/55"&amp;SUBSTITUTE(SUBSTITUTE(SUBSTITUTE(SUBSTITUTE(H54,"(",""),")",""),"-","")," ",""),"Abrir"))</f>
        <v/>
      </c>
      <c r="J54" s="9"/>
      <c r="K54" s="5"/>
      <c r="L54" s="5"/>
      <c r="M54" s="6"/>
      <c r="N54" s="10" t="str">
        <f aca="false">IF(M54="","",WORKDAY(M54,3))</f>
        <v/>
      </c>
      <c r="O54" s="10" t="str">
        <f aca="false">IF(M54="","",WORKDAY(M54,7))</f>
        <v/>
      </c>
      <c r="P54" s="10" t="str">
        <f aca="false">IF(M54="","",WORKDAY(M54,30))</f>
        <v/>
      </c>
      <c r="Q54" s="10" t="str">
        <f aca="true">IF(M54="","",IF(OR(T54="Sim",COUNTIF({"FECHADO";"Perdido";"Descartado"},L54)&gt;0),"",IF(TODAY()&lt;N54,N54,IF(TODAY()&lt;O54,O54,IF(TODAY()&lt;=P54,P54,"")))))</f>
        <v/>
      </c>
      <c r="R54" s="9" t="str">
        <f aca="true">IF(C54="","",IF(COUNTIF({"FECHADO";"Perdido";"Descartado"},L54)&gt;0,"-",IF(M54="","INICIAR",IF(T54="Sim","RESPONDEU",IF(Q54="","ESGOTADO",IF(Q54&lt;TODAY(),"ATRASADO",IF(Q54=TODAY(),"HOJE","No prazo")))))))</f>
        <v/>
      </c>
      <c r="S54" s="9" t="str">
        <f aca="true">IF(M54="","",TODAY()-M54)</f>
        <v/>
      </c>
      <c r="T54" s="7"/>
      <c r="U54" s="11"/>
      <c r="V54" s="11"/>
      <c r="W54" s="11"/>
      <c r="X54" s="10"/>
      <c r="Y54" s="5"/>
    </row>
    <row r="55" customFormat="false" ht="15" hidden="false" customHeight="false" outlineLevel="0" collapsed="false">
      <c r="A55" s="3"/>
      <c r="B55" s="4"/>
      <c r="C55" s="5"/>
      <c r="D55" s="5"/>
      <c r="E55" s="5"/>
      <c r="F55" s="5"/>
      <c r="G55" s="5"/>
      <c r="H55" s="5"/>
      <c r="I55" s="3" t="str">
        <f aca="false">IF(H55="","",HYPERLINK("https://wa.me/55"&amp;SUBSTITUTE(SUBSTITUTE(SUBSTITUTE(SUBSTITUTE(H55,"(",""),")",""),"-","")," ",""),"Abrir"))</f>
        <v/>
      </c>
      <c r="J55" s="3"/>
      <c r="K55" s="5"/>
      <c r="L55" s="5"/>
      <c r="M55" s="6"/>
      <c r="N55" s="4" t="str">
        <f aca="false">IF(M55="","",WORKDAY(M55,3))</f>
        <v/>
      </c>
      <c r="O55" s="4" t="str">
        <f aca="false">IF(M55="","",WORKDAY(M55,7))</f>
        <v/>
      </c>
      <c r="P55" s="4" t="str">
        <f aca="false">IF(M55="","",WORKDAY(M55,30))</f>
        <v/>
      </c>
      <c r="Q55" s="4" t="str">
        <f aca="true">IF(M55="","",IF(OR(T55="Sim",COUNTIF({"FECHADO";"Perdido";"Descartado"},L55)&gt;0),"",IF(TODAY()&lt;N55,N55,IF(TODAY()&lt;O55,O55,IF(TODAY()&lt;=P55,P55,"")))))</f>
        <v/>
      </c>
      <c r="R55" s="3" t="str">
        <f aca="true">IF(C55="","",IF(COUNTIF({"FECHADO";"Perdido";"Descartado"},L55)&gt;0,"-",IF(M55="","INICIAR",IF(T55="Sim","RESPONDEU",IF(Q55="","ESGOTADO",IF(Q55&lt;TODAY(),"ATRASADO",IF(Q55=TODAY(),"HOJE","No prazo")))))))</f>
        <v/>
      </c>
      <c r="S55" s="3" t="str">
        <f aca="true">IF(M55="","",TODAY()-M55)</f>
        <v/>
      </c>
      <c r="T55" s="7"/>
      <c r="U55" s="8"/>
      <c r="V55" s="8"/>
      <c r="W55" s="8"/>
      <c r="X55" s="4"/>
      <c r="Y55" s="5"/>
    </row>
    <row r="56" customFormat="false" ht="15" hidden="false" customHeight="false" outlineLevel="0" collapsed="false">
      <c r="A56" s="9"/>
      <c r="B56" s="10"/>
      <c r="C56" s="5"/>
      <c r="D56" s="5"/>
      <c r="E56" s="5"/>
      <c r="F56" s="5"/>
      <c r="G56" s="5"/>
      <c r="H56" s="5"/>
      <c r="I56" s="9" t="str">
        <f aca="false">IF(H56="","",HYPERLINK("https://wa.me/55"&amp;SUBSTITUTE(SUBSTITUTE(SUBSTITUTE(SUBSTITUTE(H56,"(",""),")",""),"-","")," ",""),"Abrir"))</f>
        <v/>
      </c>
      <c r="J56" s="9"/>
      <c r="K56" s="5"/>
      <c r="L56" s="5"/>
      <c r="M56" s="6"/>
      <c r="N56" s="10" t="str">
        <f aca="false">IF(M56="","",WORKDAY(M56,3))</f>
        <v/>
      </c>
      <c r="O56" s="10" t="str">
        <f aca="false">IF(M56="","",WORKDAY(M56,7))</f>
        <v/>
      </c>
      <c r="P56" s="10" t="str">
        <f aca="false">IF(M56="","",WORKDAY(M56,30))</f>
        <v/>
      </c>
      <c r="Q56" s="10" t="str">
        <f aca="true">IF(M56="","",IF(OR(T56="Sim",COUNTIF({"FECHADO";"Perdido";"Descartado"},L56)&gt;0),"",IF(TODAY()&lt;N56,N56,IF(TODAY()&lt;O56,O56,IF(TODAY()&lt;=P56,P56,"")))))</f>
        <v/>
      </c>
      <c r="R56" s="9" t="str">
        <f aca="true">IF(C56="","",IF(COUNTIF({"FECHADO";"Perdido";"Descartado"},L56)&gt;0,"-",IF(M56="","INICIAR",IF(T56="Sim","RESPONDEU",IF(Q56="","ESGOTADO",IF(Q56&lt;TODAY(),"ATRASADO",IF(Q56=TODAY(),"HOJE","No prazo")))))))</f>
        <v/>
      </c>
      <c r="S56" s="9" t="str">
        <f aca="true">IF(M56="","",TODAY()-M56)</f>
        <v/>
      </c>
      <c r="T56" s="7"/>
      <c r="U56" s="11"/>
      <c r="V56" s="11"/>
      <c r="W56" s="11"/>
      <c r="X56" s="10"/>
      <c r="Y56" s="5"/>
    </row>
    <row r="57" customFormat="false" ht="15" hidden="false" customHeight="false" outlineLevel="0" collapsed="false">
      <c r="A57" s="3"/>
      <c r="B57" s="4"/>
      <c r="C57" s="5"/>
      <c r="D57" s="5"/>
      <c r="E57" s="5"/>
      <c r="F57" s="5"/>
      <c r="G57" s="5"/>
      <c r="H57" s="5"/>
      <c r="I57" s="3" t="str">
        <f aca="false">IF(H57="","",HYPERLINK("https://wa.me/55"&amp;SUBSTITUTE(SUBSTITUTE(SUBSTITUTE(SUBSTITUTE(H57,"(",""),")",""),"-","")," ",""),"Abrir"))</f>
        <v/>
      </c>
      <c r="J57" s="3"/>
      <c r="K57" s="5"/>
      <c r="L57" s="5"/>
      <c r="M57" s="6"/>
      <c r="N57" s="4" t="str">
        <f aca="false">IF(M57="","",WORKDAY(M57,3))</f>
        <v/>
      </c>
      <c r="O57" s="4" t="str">
        <f aca="false">IF(M57="","",WORKDAY(M57,7))</f>
        <v/>
      </c>
      <c r="P57" s="4" t="str">
        <f aca="false">IF(M57="","",WORKDAY(M57,30))</f>
        <v/>
      </c>
      <c r="Q57" s="4" t="str">
        <f aca="true">IF(M57="","",IF(OR(T57="Sim",COUNTIF({"FECHADO";"Perdido";"Descartado"},L57)&gt;0),"",IF(TODAY()&lt;N57,N57,IF(TODAY()&lt;O57,O57,IF(TODAY()&lt;=P57,P57,"")))))</f>
        <v/>
      </c>
      <c r="R57" s="3" t="str">
        <f aca="true">IF(C57="","",IF(COUNTIF({"FECHADO";"Perdido";"Descartado"},L57)&gt;0,"-",IF(M57="","INICIAR",IF(T57="Sim","RESPONDEU",IF(Q57="","ESGOTADO",IF(Q57&lt;TODAY(),"ATRASADO",IF(Q57=TODAY(),"HOJE","No prazo")))))))</f>
        <v/>
      </c>
      <c r="S57" s="3" t="str">
        <f aca="true">IF(M57="","",TODAY()-M57)</f>
        <v/>
      </c>
      <c r="T57" s="7"/>
      <c r="U57" s="8"/>
      <c r="V57" s="8"/>
      <c r="W57" s="8"/>
      <c r="X57" s="4"/>
      <c r="Y57" s="5"/>
    </row>
    <row r="58" customFormat="false" ht="15" hidden="false" customHeight="false" outlineLevel="0" collapsed="false">
      <c r="A58" s="9"/>
      <c r="B58" s="10"/>
      <c r="C58" s="5"/>
      <c r="D58" s="5"/>
      <c r="E58" s="5"/>
      <c r="F58" s="5"/>
      <c r="G58" s="5"/>
      <c r="H58" s="5"/>
      <c r="I58" s="9" t="str">
        <f aca="false">IF(H58="","",HYPERLINK("https://wa.me/55"&amp;SUBSTITUTE(SUBSTITUTE(SUBSTITUTE(SUBSTITUTE(H58,"(",""),")",""),"-","")," ",""),"Abrir"))</f>
        <v/>
      </c>
      <c r="J58" s="9"/>
      <c r="K58" s="5"/>
      <c r="L58" s="5"/>
      <c r="M58" s="6"/>
      <c r="N58" s="10" t="str">
        <f aca="false">IF(M58="","",WORKDAY(M58,3))</f>
        <v/>
      </c>
      <c r="O58" s="10" t="str">
        <f aca="false">IF(M58="","",WORKDAY(M58,7))</f>
        <v/>
      </c>
      <c r="P58" s="10" t="str">
        <f aca="false">IF(M58="","",WORKDAY(M58,30))</f>
        <v/>
      </c>
      <c r="Q58" s="10" t="str">
        <f aca="true">IF(M58="","",IF(OR(T58="Sim",COUNTIF({"FECHADO";"Perdido";"Descartado"},L58)&gt;0),"",IF(TODAY()&lt;N58,N58,IF(TODAY()&lt;O58,O58,IF(TODAY()&lt;=P58,P58,"")))))</f>
        <v/>
      </c>
      <c r="R58" s="9" t="str">
        <f aca="true">IF(C58="","",IF(COUNTIF({"FECHADO";"Perdido";"Descartado"},L58)&gt;0,"-",IF(M58="","INICIAR",IF(T58="Sim","RESPONDEU",IF(Q58="","ESGOTADO",IF(Q58&lt;TODAY(),"ATRASADO",IF(Q58=TODAY(),"HOJE","No prazo")))))))</f>
        <v/>
      </c>
      <c r="S58" s="9" t="str">
        <f aca="true">IF(M58="","",TODAY()-M58)</f>
        <v/>
      </c>
      <c r="T58" s="7"/>
      <c r="U58" s="11"/>
      <c r="V58" s="11"/>
      <c r="W58" s="11"/>
      <c r="X58" s="10"/>
      <c r="Y58" s="5"/>
    </row>
    <row r="59" customFormat="false" ht="15" hidden="false" customHeight="false" outlineLevel="0" collapsed="false">
      <c r="A59" s="3"/>
      <c r="B59" s="4"/>
      <c r="C59" s="5"/>
      <c r="D59" s="5"/>
      <c r="E59" s="5"/>
      <c r="F59" s="5"/>
      <c r="G59" s="5"/>
      <c r="H59" s="5"/>
      <c r="I59" s="3" t="str">
        <f aca="false">IF(H59="","",HYPERLINK("https://wa.me/55"&amp;SUBSTITUTE(SUBSTITUTE(SUBSTITUTE(SUBSTITUTE(H59,"(",""),")",""),"-","")," ",""),"Abrir"))</f>
        <v/>
      </c>
      <c r="J59" s="3"/>
      <c r="K59" s="5"/>
      <c r="L59" s="5"/>
      <c r="M59" s="6"/>
      <c r="N59" s="4" t="str">
        <f aca="false">IF(M59="","",WORKDAY(M59,3))</f>
        <v/>
      </c>
      <c r="O59" s="4" t="str">
        <f aca="false">IF(M59="","",WORKDAY(M59,7))</f>
        <v/>
      </c>
      <c r="P59" s="4" t="str">
        <f aca="false">IF(M59="","",WORKDAY(M59,30))</f>
        <v/>
      </c>
      <c r="Q59" s="4" t="str">
        <f aca="true">IF(M59="","",IF(OR(T59="Sim",COUNTIF({"FECHADO";"Perdido";"Descartado"},L59)&gt;0),"",IF(TODAY()&lt;N59,N59,IF(TODAY()&lt;O59,O59,IF(TODAY()&lt;=P59,P59,"")))))</f>
        <v/>
      </c>
      <c r="R59" s="3" t="str">
        <f aca="true">IF(C59="","",IF(COUNTIF({"FECHADO";"Perdido";"Descartado"},L59)&gt;0,"-",IF(M59="","INICIAR",IF(T59="Sim","RESPONDEU",IF(Q59="","ESGOTADO",IF(Q59&lt;TODAY(),"ATRASADO",IF(Q59=TODAY(),"HOJE","No prazo")))))))</f>
        <v/>
      </c>
      <c r="S59" s="3" t="str">
        <f aca="true">IF(M59="","",TODAY()-M59)</f>
        <v/>
      </c>
      <c r="T59" s="7"/>
      <c r="U59" s="8"/>
      <c r="V59" s="8"/>
      <c r="W59" s="8"/>
      <c r="X59" s="4"/>
      <c r="Y59" s="5"/>
    </row>
    <row r="60" customFormat="false" ht="15" hidden="false" customHeight="false" outlineLevel="0" collapsed="false">
      <c r="A60" s="9"/>
      <c r="B60" s="10"/>
      <c r="C60" s="5"/>
      <c r="D60" s="5"/>
      <c r="E60" s="5"/>
      <c r="F60" s="5"/>
      <c r="G60" s="5"/>
      <c r="H60" s="5"/>
      <c r="I60" s="9" t="str">
        <f aca="false">IF(H60="","",HYPERLINK("https://wa.me/55"&amp;SUBSTITUTE(SUBSTITUTE(SUBSTITUTE(SUBSTITUTE(H60,"(",""),")",""),"-","")," ",""),"Abrir"))</f>
        <v/>
      </c>
      <c r="J60" s="9"/>
      <c r="K60" s="5"/>
      <c r="L60" s="5"/>
      <c r="M60" s="6"/>
      <c r="N60" s="10" t="str">
        <f aca="false">IF(M60="","",WORKDAY(M60,3))</f>
        <v/>
      </c>
      <c r="O60" s="10" t="str">
        <f aca="false">IF(M60="","",WORKDAY(M60,7))</f>
        <v/>
      </c>
      <c r="P60" s="10" t="str">
        <f aca="false">IF(M60="","",WORKDAY(M60,30))</f>
        <v/>
      </c>
      <c r="Q60" s="10" t="str">
        <f aca="true">IF(M60="","",IF(OR(T60="Sim",COUNTIF({"FECHADO";"Perdido";"Descartado"},L60)&gt;0),"",IF(TODAY()&lt;N60,N60,IF(TODAY()&lt;O60,O60,IF(TODAY()&lt;=P60,P60,"")))))</f>
        <v/>
      </c>
      <c r="R60" s="9" t="str">
        <f aca="true">IF(C60="","",IF(COUNTIF({"FECHADO";"Perdido";"Descartado"},L60)&gt;0,"-",IF(M60="","INICIAR",IF(T60="Sim","RESPONDEU",IF(Q60="","ESGOTADO",IF(Q60&lt;TODAY(),"ATRASADO",IF(Q60=TODAY(),"HOJE","No prazo")))))))</f>
        <v/>
      </c>
      <c r="S60" s="9" t="str">
        <f aca="true">IF(M60="","",TODAY()-M60)</f>
        <v/>
      </c>
      <c r="T60" s="7"/>
      <c r="U60" s="11"/>
      <c r="V60" s="11"/>
      <c r="W60" s="11"/>
      <c r="X60" s="10"/>
      <c r="Y60" s="5"/>
    </row>
    <row r="61" customFormat="false" ht="15" hidden="false" customHeight="false" outlineLevel="0" collapsed="false">
      <c r="A61" s="3"/>
      <c r="B61" s="4"/>
      <c r="C61" s="5"/>
      <c r="D61" s="5"/>
      <c r="E61" s="5"/>
      <c r="F61" s="5"/>
      <c r="G61" s="5"/>
      <c r="H61" s="5"/>
      <c r="I61" s="3" t="str">
        <f aca="false">IF(H61="","",HYPERLINK("https://wa.me/55"&amp;SUBSTITUTE(SUBSTITUTE(SUBSTITUTE(SUBSTITUTE(H61,"(",""),")",""),"-","")," ",""),"Abrir"))</f>
        <v/>
      </c>
      <c r="J61" s="3"/>
      <c r="K61" s="5"/>
      <c r="L61" s="5"/>
      <c r="M61" s="6"/>
      <c r="N61" s="4" t="str">
        <f aca="false">IF(M61="","",WORKDAY(M61,3))</f>
        <v/>
      </c>
      <c r="O61" s="4" t="str">
        <f aca="false">IF(M61="","",WORKDAY(M61,7))</f>
        <v/>
      </c>
      <c r="P61" s="4" t="str">
        <f aca="false">IF(M61="","",WORKDAY(M61,30))</f>
        <v/>
      </c>
      <c r="Q61" s="4" t="str">
        <f aca="true">IF(M61="","",IF(OR(T61="Sim",COUNTIF({"FECHADO";"Perdido";"Descartado"},L61)&gt;0),"",IF(TODAY()&lt;N61,N61,IF(TODAY()&lt;O61,O61,IF(TODAY()&lt;=P61,P61,"")))))</f>
        <v/>
      </c>
      <c r="R61" s="3" t="str">
        <f aca="true">IF(C61="","",IF(COUNTIF({"FECHADO";"Perdido";"Descartado"},L61)&gt;0,"-",IF(M61="","INICIAR",IF(T61="Sim","RESPONDEU",IF(Q61="","ESGOTADO",IF(Q61&lt;TODAY(),"ATRASADO",IF(Q61=TODAY(),"HOJE","No prazo")))))))</f>
        <v/>
      </c>
      <c r="S61" s="3" t="str">
        <f aca="true">IF(M61="","",TODAY()-M61)</f>
        <v/>
      </c>
      <c r="T61" s="7"/>
      <c r="U61" s="8"/>
      <c r="V61" s="8"/>
      <c r="W61" s="8"/>
      <c r="X61" s="4"/>
      <c r="Y61" s="5"/>
    </row>
    <row r="62" customFormat="false" ht="15" hidden="false" customHeight="false" outlineLevel="0" collapsed="false">
      <c r="A62" s="9"/>
      <c r="B62" s="10"/>
      <c r="C62" s="5"/>
      <c r="D62" s="5"/>
      <c r="E62" s="5"/>
      <c r="F62" s="5"/>
      <c r="G62" s="5"/>
      <c r="H62" s="5"/>
      <c r="I62" s="9" t="str">
        <f aca="false">IF(H62="","",HYPERLINK("https://wa.me/55"&amp;SUBSTITUTE(SUBSTITUTE(SUBSTITUTE(SUBSTITUTE(H62,"(",""),")",""),"-","")," ",""),"Abrir"))</f>
        <v/>
      </c>
      <c r="J62" s="9"/>
      <c r="K62" s="5"/>
      <c r="L62" s="5"/>
      <c r="M62" s="6"/>
      <c r="N62" s="10" t="str">
        <f aca="false">IF(M62="","",WORKDAY(M62,3))</f>
        <v/>
      </c>
      <c r="O62" s="10" t="str">
        <f aca="false">IF(M62="","",WORKDAY(M62,7))</f>
        <v/>
      </c>
      <c r="P62" s="10" t="str">
        <f aca="false">IF(M62="","",WORKDAY(M62,30))</f>
        <v/>
      </c>
      <c r="Q62" s="10" t="str">
        <f aca="true">IF(M62="","",IF(OR(T62="Sim",COUNTIF({"FECHADO";"Perdido";"Descartado"},L62)&gt;0),"",IF(TODAY()&lt;N62,N62,IF(TODAY()&lt;O62,O62,IF(TODAY()&lt;=P62,P62,"")))))</f>
        <v/>
      </c>
      <c r="R62" s="9" t="str">
        <f aca="true">IF(C62="","",IF(COUNTIF({"FECHADO";"Perdido";"Descartado"},L62)&gt;0,"-",IF(M62="","INICIAR",IF(T62="Sim","RESPONDEU",IF(Q62="","ESGOTADO",IF(Q62&lt;TODAY(),"ATRASADO",IF(Q62=TODAY(),"HOJE","No prazo")))))))</f>
        <v/>
      </c>
      <c r="S62" s="9" t="str">
        <f aca="true">IF(M62="","",TODAY()-M62)</f>
        <v/>
      </c>
      <c r="T62" s="7"/>
      <c r="U62" s="11"/>
      <c r="V62" s="11"/>
      <c r="W62" s="11"/>
      <c r="X62" s="10"/>
      <c r="Y62" s="5"/>
    </row>
    <row r="63" customFormat="false" ht="15" hidden="false" customHeight="false" outlineLevel="0" collapsed="false">
      <c r="A63" s="3"/>
      <c r="B63" s="4"/>
      <c r="C63" s="5"/>
      <c r="D63" s="5"/>
      <c r="E63" s="5"/>
      <c r="F63" s="5"/>
      <c r="G63" s="5"/>
      <c r="H63" s="5"/>
      <c r="I63" s="3" t="str">
        <f aca="false">IF(H63="","",HYPERLINK("https://wa.me/55"&amp;SUBSTITUTE(SUBSTITUTE(SUBSTITUTE(SUBSTITUTE(H63,"(",""),")",""),"-","")," ",""),"Abrir"))</f>
        <v/>
      </c>
      <c r="J63" s="3"/>
      <c r="K63" s="5"/>
      <c r="L63" s="5"/>
      <c r="M63" s="6"/>
      <c r="N63" s="4" t="str">
        <f aca="false">IF(M63="","",WORKDAY(M63,3))</f>
        <v/>
      </c>
      <c r="O63" s="4" t="str">
        <f aca="false">IF(M63="","",WORKDAY(M63,7))</f>
        <v/>
      </c>
      <c r="P63" s="4" t="str">
        <f aca="false">IF(M63="","",WORKDAY(M63,30))</f>
        <v/>
      </c>
      <c r="Q63" s="4" t="str">
        <f aca="true">IF(M63="","",IF(OR(T63="Sim",COUNTIF({"FECHADO";"Perdido";"Descartado"},L63)&gt;0),"",IF(TODAY()&lt;N63,N63,IF(TODAY()&lt;O63,O63,IF(TODAY()&lt;=P63,P63,"")))))</f>
        <v/>
      </c>
      <c r="R63" s="3" t="str">
        <f aca="true">IF(C63="","",IF(COUNTIF({"FECHADO";"Perdido";"Descartado"},L63)&gt;0,"-",IF(M63="","INICIAR",IF(T63="Sim","RESPONDEU",IF(Q63="","ESGOTADO",IF(Q63&lt;TODAY(),"ATRASADO",IF(Q63=TODAY(),"HOJE","No prazo")))))))</f>
        <v/>
      </c>
      <c r="S63" s="3" t="str">
        <f aca="true">IF(M63="","",TODAY()-M63)</f>
        <v/>
      </c>
      <c r="T63" s="7"/>
      <c r="U63" s="8"/>
      <c r="V63" s="8"/>
      <c r="W63" s="8"/>
      <c r="X63" s="4"/>
      <c r="Y63" s="5"/>
    </row>
    <row r="64" customFormat="false" ht="15" hidden="false" customHeight="false" outlineLevel="0" collapsed="false">
      <c r="A64" s="9"/>
      <c r="B64" s="10"/>
      <c r="C64" s="5"/>
      <c r="D64" s="5"/>
      <c r="E64" s="5"/>
      <c r="F64" s="5"/>
      <c r="G64" s="5"/>
      <c r="H64" s="5"/>
      <c r="I64" s="9" t="str">
        <f aca="false">IF(H64="","",HYPERLINK("https://wa.me/55"&amp;SUBSTITUTE(SUBSTITUTE(SUBSTITUTE(SUBSTITUTE(H64,"(",""),")",""),"-","")," ",""),"Abrir"))</f>
        <v/>
      </c>
      <c r="J64" s="9"/>
      <c r="K64" s="5"/>
      <c r="L64" s="5"/>
      <c r="M64" s="6"/>
      <c r="N64" s="10" t="str">
        <f aca="false">IF(M64="","",WORKDAY(M64,3))</f>
        <v/>
      </c>
      <c r="O64" s="10" t="str">
        <f aca="false">IF(M64="","",WORKDAY(M64,7))</f>
        <v/>
      </c>
      <c r="P64" s="10" t="str">
        <f aca="false">IF(M64="","",WORKDAY(M64,30))</f>
        <v/>
      </c>
      <c r="Q64" s="10" t="str">
        <f aca="true">IF(M64="","",IF(OR(T64="Sim",COUNTIF({"FECHADO";"Perdido";"Descartado"},L64)&gt;0),"",IF(TODAY()&lt;N64,N64,IF(TODAY()&lt;O64,O64,IF(TODAY()&lt;=P64,P64,"")))))</f>
        <v/>
      </c>
      <c r="R64" s="9" t="str">
        <f aca="true">IF(C64="","",IF(COUNTIF({"FECHADO";"Perdido";"Descartado"},L64)&gt;0,"-",IF(M64="","INICIAR",IF(T64="Sim","RESPONDEU",IF(Q64="","ESGOTADO",IF(Q64&lt;TODAY(),"ATRASADO",IF(Q64=TODAY(),"HOJE","No prazo")))))))</f>
        <v/>
      </c>
      <c r="S64" s="9" t="str">
        <f aca="true">IF(M64="","",TODAY()-M64)</f>
        <v/>
      </c>
      <c r="T64" s="7"/>
      <c r="U64" s="11"/>
      <c r="V64" s="11"/>
      <c r="W64" s="11"/>
      <c r="X64" s="10"/>
      <c r="Y64" s="5"/>
    </row>
    <row r="65" customFormat="false" ht="15" hidden="false" customHeight="false" outlineLevel="0" collapsed="false">
      <c r="A65" s="3"/>
      <c r="B65" s="4"/>
      <c r="C65" s="5"/>
      <c r="D65" s="5"/>
      <c r="E65" s="5"/>
      <c r="F65" s="5"/>
      <c r="G65" s="5"/>
      <c r="H65" s="5"/>
      <c r="I65" s="3" t="str">
        <f aca="false">IF(H65="","",HYPERLINK("https://wa.me/55"&amp;SUBSTITUTE(SUBSTITUTE(SUBSTITUTE(SUBSTITUTE(H65,"(",""),")",""),"-","")," ",""),"Abrir"))</f>
        <v/>
      </c>
      <c r="J65" s="3"/>
      <c r="K65" s="5"/>
      <c r="L65" s="5"/>
      <c r="M65" s="6"/>
      <c r="N65" s="4" t="str">
        <f aca="false">IF(M65="","",WORKDAY(M65,3))</f>
        <v/>
      </c>
      <c r="O65" s="4" t="str">
        <f aca="false">IF(M65="","",WORKDAY(M65,7))</f>
        <v/>
      </c>
      <c r="P65" s="4" t="str">
        <f aca="false">IF(M65="","",WORKDAY(M65,30))</f>
        <v/>
      </c>
      <c r="Q65" s="4" t="str">
        <f aca="true">IF(M65="","",IF(OR(T65="Sim",COUNTIF({"FECHADO";"Perdido";"Descartado"},L65)&gt;0),"",IF(TODAY()&lt;N65,N65,IF(TODAY()&lt;O65,O65,IF(TODAY()&lt;=P65,P65,"")))))</f>
        <v/>
      </c>
      <c r="R65" s="3" t="str">
        <f aca="true">IF(C65="","",IF(COUNTIF({"FECHADO";"Perdido";"Descartado"},L65)&gt;0,"-",IF(M65="","INICIAR",IF(T65="Sim","RESPONDEU",IF(Q65="","ESGOTADO",IF(Q65&lt;TODAY(),"ATRASADO",IF(Q65=TODAY(),"HOJE","No prazo")))))))</f>
        <v/>
      </c>
      <c r="S65" s="3" t="str">
        <f aca="true">IF(M65="","",TODAY()-M65)</f>
        <v/>
      </c>
      <c r="T65" s="7"/>
      <c r="U65" s="8"/>
      <c r="V65" s="8"/>
      <c r="W65" s="8"/>
      <c r="X65" s="4"/>
      <c r="Y65" s="5"/>
    </row>
    <row r="66" customFormat="false" ht="15" hidden="false" customHeight="false" outlineLevel="0" collapsed="false">
      <c r="A66" s="9"/>
      <c r="B66" s="10"/>
      <c r="C66" s="5"/>
      <c r="D66" s="5"/>
      <c r="E66" s="5"/>
      <c r="F66" s="5"/>
      <c r="G66" s="5"/>
      <c r="H66" s="5"/>
      <c r="I66" s="9" t="str">
        <f aca="false">IF(H66="","",HYPERLINK("https://wa.me/55"&amp;SUBSTITUTE(SUBSTITUTE(SUBSTITUTE(SUBSTITUTE(H66,"(",""),")",""),"-","")," ",""),"Abrir"))</f>
        <v/>
      </c>
      <c r="J66" s="9"/>
      <c r="K66" s="5"/>
      <c r="L66" s="5"/>
      <c r="M66" s="6"/>
      <c r="N66" s="10" t="str">
        <f aca="false">IF(M66="","",WORKDAY(M66,3))</f>
        <v/>
      </c>
      <c r="O66" s="10" t="str">
        <f aca="false">IF(M66="","",WORKDAY(M66,7))</f>
        <v/>
      </c>
      <c r="P66" s="10" t="str">
        <f aca="false">IF(M66="","",WORKDAY(M66,30))</f>
        <v/>
      </c>
      <c r="Q66" s="10" t="str">
        <f aca="true">IF(M66="","",IF(OR(T66="Sim",COUNTIF({"FECHADO";"Perdido";"Descartado"},L66)&gt;0),"",IF(TODAY()&lt;N66,N66,IF(TODAY()&lt;O66,O66,IF(TODAY()&lt;=P66,P66,"")))))</f>
        <v/>
      </c>
      <c r="R66" s="9" t="str">
        <f aca="true">IF(C66="","",IF(COUNTIF({"FECHADO";"Perdido";"Descartado"},L66)&gt;0,"-",IF(M66="","INICIAR",IF(T66="Sim","RESPONDEU",IF(Q66="","ESGOTADO",IF(Q66&lt;TODAY(),"ATRASADO",IF(Q66=TODAY(),"HOJE","No prazo")))))))</f>
        <v/>
      </c>
      <c r="S66" s="9" t="str">
        <f aca="true">IF(M66="","",TODAY()-M66)</f>
        <v/>
      </c>
      <c r="T66" s="7"/>
      <c r="U66" s="11"/>
      <c r="V66" s="11"/>
      <c r="W66" s="11"/>
      <c r="X66" s="10"/>
      <c r="Y66" s="5"/>
    </row>
    <row r="67" customFormat="false" ht="15" hidden="false" customHeight="false" outlineLevel="0" collapsed="false">
      <c r="A67" s="3"/>
      <c r="B67" s="4"/>
      <c r="C67" s="5"/>
      <c r="D67" s="5"/>
      <c r="E67" s="5"/>
      <c r="F67" s="5"/>
      <c r="G67" s="5"/>
      <c r="H67" s="5"/>
      <c r="I67" s="3" t="str">
        <f aca="false">IF(H67="","",HYPERLINK("https://wa.me/55"&amp;SUBSTITUTE(SUBSTITUTE(SUBSTITUTE(SUBSTITUTE(H67,"(",""),")",""),"-","")," ",""),"Abrir"))</f>
        <v/>
      </c>
      <c r="J67" s="3"/>
      <c r="K67" s="5"/>
      <c r="L67" s="5"/>
      <c r="M67" s="6"/>
      <c r="N67" s="4" t="str">
        <f aca="false">IF(M67="","",WORKDAY(M67,3))</f>
        <v/>
      </c>
      <c r="O67" s="4" t="str">
        <f aca="false">IF(M67="","",WORKDAY(M67,7))</f>
        <v/>
      </c>
      <c r="P67" s="4" t="str">
        <f aca="false">IF(M67="","",WORKDAY(M67,30))</f>
        <v/>
      </c>
      <c r="Q67" s="4" t="str">
        <f aca="true">IF(M67="","",IF(OR(T67="Sim",COUNTIF({"FECHADO";"Perdido";"Descartado"},L67)&gt;0),"",IF(TODAY()&lt;N67,N67,IF(TODAY()&lt;O67,O67,IF(TODAY()&lt;=P67,P67,"")))))</f>
        <v/>
      </c>
      <c r="R67" s="3" t="str">
        <f aca="true">IF(C67="","",IF(COUNTIF({"FECHADO";"Perdido";"Descartado"},L67)&gt;0,"-",IF(M67="","INICIAR",IF(T67="Sim","RESPONDEU",IF(Q67="","ESGOTADO",IF(Q67&lt;TODAY(),"ATRASADO",IF(Q67=TODAY(),"HOJE","No prazo")))))))</f>
        <v/>
      </c>
      <c r="S67" s="3" t="str">
        <f aca="true">IF(M67="","",TODAY()-M67)</f>
        <v/>
      </c>
      <c r="T67" s="7"/>
      <c r="U67" s="8"/>
      <c r="V67" s="8"/>
      <c r="W67" s="8"/>
      <c r="X67" s="4"/>
      <c r="Y67" s="5"/>
    </row>
    <row r="68" customFormat="false" ht="15" hidden="false" customHeight="false" outlineLevel="0" collapsed="false">
      <c r="A68" s="9"/>
      <c r="B68" s="10"/>
      <c r="C68" s="5"/>
      <c r="D68" s="5"/>
      <c r="E68" s="5"/>
      <c r="F68" s="5"/>
      <c r="G68" s="5"/>
      <c r="H68" s="5"/>
      <c r="I68" s="9" t="str">
        <f aca="false">IF(H68="","",HYPERLINK("https://wa.me/55"&amp;SUBSTITUTE(SUBSTITUTE(SUBSTITUTE(SUBSTITUTE(H68,"(",""),")",""),"-","")," ",""),"Abrir"))</f>
        <v/>
      </c>
      <c r="J68" s="9"/>
      <c r="K68" s="5"/>
      <c r="L68" s="5"/>
      <c r="M68" s="6"/>
      <c r="N68" s="10" t="str">
        <f aca="false">IF(M68="","",WORKDAY(M68,3))</f>
        <v/>
      </c>
      <c r="O68" s="10" t="str">
        <f aca="false">IF(M68="","",WORKDAY(M68,7))</f>
        <v/>
      </c>
      <c r="P68" s="10" t="str">
        <f aca="false">IF(M68="","",WORKDAY(M68,30))</f>
        <v/>
      </c>
      <c r="Q68" s="10" t="str">
        <f aca="true">IF(M68="","",IF(OR(T68="Sim",COUNTIF({"FECHADO";"Perdido";"Descartado"},L68)&gt;0),"",IF(TODAY()&lt;N68,N68,IF(TODAY()&lt;O68,O68,IF(TODAY()&lt;=P68,P68,"")))))</f>
        <v/>
      </c>
      <c r="R68" s="9" t="str">
        <f aca="true">IF(C68="","",IF(COUNTIF({"FECHADO";"Perdido";"Descartado"},L68)&gt;0,"-",IF(M68="","INICIAR",IF(T68="Sim","RESPONDEU",IF(Q68="","ESGOTADO",IF(Q68&lt;TODAY(),"ATRASADO",IF(Q68=TODAY(),"HOJE","No prazo")))))))</f>
        <v/>
      </c>
      <c r="S68" s="9" t="str">
        <f aca="true">IF(M68="","",TODAY()-M68)</f>
        <v/>
      </c>
      <c r="T68" s="7"/>
      <c r="U68" s="11"/>
      <c r="V68" s="11"/>
      <c r="W68" s="11"/>
      <c r="X68" s="10"/>
      <c r="Y68" s="5"/>
    </row>
    <row r="69" customFormat="false" ht="15" hidden="false" customHeight="false" outlineLevel="0" collapsed="false">
      <c r="A69" s="3"/>
      <c r="B69" s="4"/>
      <c r="C69" s="5"/>
      <c r="D69" s="5"/>
      <c r="E69" s="5"/>
      <c r="F69" s="5"/>
      <c r="G69" s="5"/>
      <c r="H69" s="5"/>
      <c r="I69" s="3" t="str">
        <f aca="false">IF(H69="","",HYPERLINK("https://wa.me/55"&amp;SUBSTITUTE(SUBSTITUTE(SUBSTITUTE(SUBSTITUTE(H69,"(",""),")",""),"-","")," ",""),"Abrir"))</f>
        <v/>
      </c>
      <c r="J69" s="3"/>
      <c r="K69" s="5"/>
      <c r="L69" s="5"/>
      <c r="M69" s="6"/>
      <c r="N69" s="4" t="str">
        <f aca="false">IF(M69="","",WORKDAY(M69,3))</f>
        <v/>
      </c>
      <c r="O69" s="4" t="str">
        <f aca="false">IF(M69="","",WORKDAY(M69,7))</f>
        <v/>
      </c>
      <c r="P69" s="4" t="str">
        <f aca="false">IF(M69="","",WORKDAY(M69,30))</f>
        <v/>
      </c>
      <c r="Q69" s="4" t="str">
        <f aca="true">IF(M69="","",IF(OR(T69="Sim",COUNTIF({"FECHADO";"Perdido";"Descartado"},L69)&gt;0),"",IF(TODAY()&lt;N69,N69,IF(TODAY()&lt;O69,O69,IF(TODAY()&lt;=P69,P69,"")))))</f>
        <v/>
      </c>
      <c r="R69" s="3" t="str">
        <f aca="true">IF(C69="","",IF(COUNTIF({"FECHADO";"Perdido";"Descartado"},L69)&gt;0,"-",IF(M69="","INICIAR",IF(T69="Sim","RESPONDEU",IF(Q69="","ESGOTADO",IF(Q69&lt;TODAY(),"ATRASADO",IF(Q69=TODAY(),"HOJE","No prazo")))))))</f>
        <v/>
      </c>
      <c r="S69" s="3" t="str">
        <f aca="true">IF(M69="","",TODAY()-M69)</f>
        <v/>
      </c>
      <c r="T69" s="7"/>
      <c r="U69" s="8"/>
      <c r="V69" s="8"/>
      <c r="W69" s="8"/>
      <c r="X69" s="4"/>
      <c r="Y69" s="5"/>
    </row>
    <row r="70" customFormat="false" ht="15" hidden="false" customHeight="false" outlineLevel="0" collapsed="false">
      <c r="A70" s="9"/>
      <c r="B70" s="10"/>
      <c r="C70" s="5"/>
      <c r="D70" s="5"/>
      <c r="E70" s="5"/>
      <c r="F70" s="5"/>
      <c r="G70" s="5"/>
      <c r="H70" s="5"/>
      <c r="I70" s="9" t="str">
        <f aca="false">IF(H70="","",HYPERLINK("https://wa.me/55"&amp;SUBSTITUTE(SUBSTITUTE(SUBSTITUTE(SUBSTITUTE(H70,"(",""),")",""),"-","")," ",""),"Abrir"))</f>
        <v/>
      </c>
      <c r="J70" s="9"/>
      <c r="K70" s="5"/>
      <c r="L70" s="5"/>
      <c r="M70" s="6"/>
      <c r="N70" s="10" t="str">
        <f aca="false">IF(M70="","",WORKDAY(M70,3))</f>
        <v/>
      </c>
      <c r="O70" s="10" t="str">
        <f aca="false">IF(M70="","",WORKDAY(M70,7))</f>
        <v/>
      </c>
      <c r="P70" s="10" t="str">
        <f aca="false">IF(M70="","",WORKDAY(M70,30))</f>
        <v/>
      </c>
      <c r="Q70" s="10" t="str">
        <f aca="true">IF(M70="","",IF(OR(T70="Sim",COUNTIF({"FECHADO";"Perdido";"Descartado"},L70)&gt;0),"",IF(TODAY()&lt;N70,N70,IF(TODAY()&lt;O70,O70,IF(TODAY()&lt;=P70,P70,"")))))</f>
        <v/>
      </c>
      <c r="R70" s="9" t="str">
        <f aca="true">IF(C70="","",IF(COUNTIF({"FECHADO";"Perdido";"Descartado"},L70)&gt;0,"-",IF(M70="","INICIAR",IF(T70="Sim","RESPONDEU",IF(Q70="","ESGOTADO",IF(Q70&lt;TODAY(),"ATRASADO",IF(Q70=TODAY(),"HOJE","No prazo")))))))</f>
        <v/>
      </c>
      <c r="S70" s="9" t="str">
        <f aca="true">IF(M70="","",TODAY()-M70)</f>
        <v/>
      </c>
      <c r="T70" s="7"/>
      <c r="U70" s="11"/>
      <c r="V70" s="11"/>
      <c r="W70" s="11"/>
      <c r="X70" s="10"/>
      <c r="Y70" s="5"/>
    </row>
    <row r="71" customFormat="false" ht="15" hidden="false" customHeight="false" outlineLevel="0" collapsed="false">
      <c r="A71" s="3"/>
      <c r="B71" s="4"/>
      <c r="C71" s="5"/>
      <c r="D71" s="5"/>
      <c r="E71" s="5"/>
      <c r="F71" s="5"/>
      <c r="G71" s="5"/>
      <c r="H71" s="5"/>
      <c r="I71" s="3" t="str">
        <f aca="false">IF(H71="","",HYPERLINK("https://wa.me/55"&amp;SUBSTITUTE(SUBSTITUTE(SUBSTITUTE(SUBSTITUTE(H71,"(",""),")",""),"-","")," ",""),"Abrir"))</f>
        <v/>
      </c>
      <c r="J71" s="3"/>
      <c r="K71" s="5"/>
      <c r="L71" s="5"/>
      <c r="M71" s="6"/>
      <c r="N71" s="4" t="str">
        <f aca="false">IF(M71="","",WORKDAY(M71,3))</f>
        <v/>
      </c>
      <c r="O71" s="4" t="str">
        <f aca="false">IF(M71="","",WORKDAY(M71,7))</f>
        <v/>
      </c>
      <c r="P71" s="4" t="str">
        <f aca="false">IF(M71="","",WORKDAY(M71,30))</f>
        <v/>
      </c>
      <c r="Q71" s="4" t="str">
        <f aca="true">IF(M71="","",IF(OR(T71="Sim",COUNTIF({"FECHADO";"Perdido";"Descartado"},L71)&gt;0),"",IF(TODAY()&lt;N71,N71,IF(TODAY()&lt;O71,O71,IF(TODAY()&lt;=P71,P71,"")))))</f>
        <v/>
      </c>
      <c r="R71" s="3" t="str">
        <f aca="true">IF(C71="","",IF(COUNTIF({"FECHADO";"Perdido";"Descartado"},L71)&gt;0,"-",IF(M71="","INICIAR",IF(T71="Sim","RESPONDEU",IF(Q71="","ESGOTADO",IF(Q71&lt;TODAY(),"ATRASADO",IF(Q71=TODAY(),"HOJE","No prazo")))))))</f>
        <v/>
      </c>
      <c r="S71" s="3" t="str">
        <f aca="true">IF(M71="","",TODAY()-M71)</f>
        <v/>
      </c>
      <c r="T71" s="7"/>
      <c r="U71" s="8"/>
      <c r="V71" s="8"/>
      <c r="W71" s="8"/>
      <c r="X71" s="4"/>
      <c r="Y71" s="5"/>
    </row>
    <row r="72" customFormat="false" ht="15" hidden="false" customHeight="false" outlineLevel="0" collapsed="false">
      <c r="A72" s="9"/>
      <c r="B72" s="10"/>
      <c r="C72" s="5"/>
      <c r="D72" s="5"/>
      <c r="E72" s="5"/>
      <c r="F72" s="5"/>
      <c r="G72" s="5"/>
      <c r="H72" s="5"/>
      <c r="I72" s="9" t="str">
        <f aca="false">IF(H72="","",HYPERLINK("https://wa.me/55"&amp;SUBSTITUTE(SUBSTITUTE(SUBSTITUTE(SUBSTITUTE(H72,"(",""),")",""),"-","")," ",""),"Abrir"))</f>
        <v/>
      </c>
      <c r="J72" s="9"/>
      <c r="K72" s="5"/>
      <c r="L72" s="5"/>
      <c r="M72" s="6"/>
      <c r="N72" s="10" t="str">
        <f aca="false">IF(M72="","",WORKDAY(M72,3))</f>
        <v/>
      </c>
      <c r="O72" s="10" t="str">
        <f aca="false">IF(M72="","",WORKDAY(M72,7))</f>
        <v/>
      </c>
      <c r="P72" s="10" t="str">
        <f aca="false">IF(M72="","",WORKDAY(M72,30))</f>
        <v/>
      </c>
      <c r="Q72" s="10" t="str">
        <f aca="true">IF(M72="","",IF(OR(T72="Sim",COUNTIF({"FECHADO";"Perdido";"Descartado"},L72)&gt;0),"",IF(TODAY()&lt;N72,N72,IF(TODAY()&lt;O72,O72,IF(TODAY()&lt;=P72,P72,"")))))</f>
        <v/>
      </c>
      <c r="R72" s="9" t="str">
        <f aca="true">IF(C72="","",IF(COUNTIF({"FECHADO";"Perdido";"Descartado"},L72)&gt;0,"-",IF(M72="","INICIAR",IF(T72="Sim","RESPONDEU",IF(Q72="","ESGOTADO",IF(Q72&lt;TODAY(),"ATRASADO",IF(Q72=TODAY(),"HOJE","No prazo")))))))</f>
        <v/>
      </c>
      <c r="S72" s="9" t="str">
        <f aca="true">IF(M72="","",TODAY()-M72)</f>
        <v/>
      </c>
      <c r="T72" s="7"/>
      <c r="U72" s="11"/>
      <c r="V72" s="11"/>
      <c r="W72" s="11"/>
      <c r="X72" s="10"/>
      <c r="Y72" s="5"/>
    </row>
    <row r="73" customFormat="false" ht="15" hidden="false" customHeight="false" outlineLevel="0" collapsed="false">
      <c r="A73" s="3"/>
      <c r="B73" s="4"/>
      <c r="C73" s="5"/>
      <c r="D73" s="5"/>
      <c r="E73" s="5"/>
      <c r="F73" s="5"/>
      <c r="G73" s="5"/>
      <c r="H73" s="5"/>
      <c r="I73" s="3" t="str">
        <f aca="false">IF(H73="","",HYPERLINK("https://wa.me/55"&amp;SUBSTITUTE(SUBSTITUTE(SUBSTITUTE(SUBSTITUTE(H73,"(",""),")",""),"-","")," ",""),"Abrir"))</f>
        <v/>
      </c>
      <c r="J73" s="3"/>
      <c r="K73" s="5"/>
      <c r="L73" s="5"/>
      <c r="M73" s="6"/>
      <c r="N73" s="4" t="str">
        <f aca="false">IF(M73="","",WORKDAY(M73,3))</f>
        <v/>
      </c>
      <c r="O73" s="4" t="str">
        <f aca="false">IF(M73="","",WORKDAY(M73,7))</f>
        <v/>
      </c>
      <c r="P73" s="4" t="str">
        <f aca="false">IF(M73="","",WORKDAY(M73,30))</f>
        <v/>
      </c>
      <c r="Q73" s="4" t="str">
        <f aca="true">IF(M73="","",IF(OR(T73="Sim",COUNTIF({"FECHADO";"Perdido";"Descartado"},L73)&gt;0),"",IF(TODAY()&lt;N73,N73,IF(TODAY()&lt;O73,O73,IF(TODAY()&lt;=P73,P73,"")))))</f>
        <v/>
      </c>
      <c r="R73" s="3" t="str">
        <f aca="true">IF(C73="","",IF(COUNTIF({"FECHADO";"Perdido";"Descartado"},L73)&gt;0,"-",IF(M73="","INICIAR",IF(T73="Sim","RESPONDEU",IF(Q73="","ESGOTADO",IF(Q73&lt;TODAY(),"ATRASADO",IF(Q73=TODAY(),"HOJE","No prazo")))))))</f>
        <v/>
      </c>
      <c r="S73" s="3" t="str">
        <f aca="true">IF(M73="","",TODAY()-M73)</f>
        <v/>
      </c>
      <c r="T73" s="7"/>
      <c r="U73" s="8"/>
      <c r="V73" s="8"/>
      <c r="W73" s="8"/>
      <c r="X73" s="4"/>
      <c r="Y73" s="5"/>
    </row>
    <row r="74" customFormat="false" ht="15" hidden="false" customHeight="false" outlineLevel="0" collapsed="false">
      <c r="A74" s="9"/>
      <c r="B74" s="10"/>
      <c r="C74" s="5"/>
      <c r="D74" s="5"/>
      <c r="E74" s="5"/>
      <c r="F74" s="5"/>
      <c r="G74" s="5"/>
      <c r="H74" s="5"/>
      <c r="I74" s="9" t="str">
        <f aca="false">IF(H74="","",HYPERLINK("https://wa.me/55"&amp;SUBSTITUTE(SUBSTITUTE(SUBSTITUTE(SUBSTITUTE(H74,"(",""),")",""),"-","")," ",""),"Abrir"))</f>
        <v/>
      </c>
      <c r="J74" s="9"/>
      <c r="K74" s="5"/>
      <c r="L74" s="5"/>
      <c r="M74" s="6"/>
      <c r="N74" s="10" t="str">
        <f aca="false">IF(M74="","",WORKDAY(M74,3))</f>
        <v/>
      </c>
      <c r="O74" s="10" t="str">
        <f aca="false">IF(M74="","",WORKDAY(M74,7))</f>
        <v/>
      </c>
      <c r="P74" s="10" t="str">
        <f aca="false">IF(M74="","",WORKDAY(M74,30))</f>
        <v/>
      </c>
      <c r="Q74" s="10" t="str">
        <f aca="true">IF(M74="","",IF(OR(T74="Sim",COUNTIF({"FECHADO";"Perdido";"Descartado"},L74)&gt;0),"",IF(TODAY()&lt;N74,N74,IF(TODAY()&lt;O74,O74,IF(TODAY()&lt;=P74,P74,"")))))</f>
        <v/>
      </c>
      <c r="R74" s="9" t="str">
        <f aca="true">IF(C74="","",IF(COUNTIF({"FECHADO";"Perdido";"Descartado"},L74)&gt;0,"-",IF(M74="","INICIAR",IF(T74="Sim","RESPONDEU",IF(Q74="","ESGOTADO",IF(Q74&lt;TODAY(),"ATRASADO",IF(Q74=TODAY(),"HOJE","No prazo")))))))</f>
        <v/>
      </c>
      <c r="S74" s="9" t="str">
        <f aca="true">IF(M74="","",TODAY()-M74)</f>
        <v/>
      </c>
      <c r="T74" s="7"/>
      <c r="U74" s="11"/>
      <c r="V74" s="11"/>
      <c r="W74" s="11"/>
      <c r="X74" s="10"/>
      <c r="Y74" s="5"/>
    </row>
    <row r="75" customFormat="false" ht="15" hidden="false" customHeight="false" outlineLevel="0" collapsed="false">
      <c r="A75" s="3"/>
      <c r="B75" s="4"/>
      <c r="C75" s="5"/>
      <c r="D75" s="5"/>
      <c r="E75" s="5"/>
      <c r="F75" s="5"/>
      <c r="G75" s="5"/>
      <c r="H75" s="5"/>
      <c r="I75" s="3" t="str">
        <f aca="false">IF(H75="","",HYPERLINK("https://wa.me/55"&amp;SUBSTITUTE(SUBSTITUTE(SUBSTITUTE(SUBSTITUTE(H75,"(",""),")",""),"-","")," ",""),"Abrir"))</f>
        <v/>
      </c>
      <c r="J75" s="3"/>
      <c r="K75" s="5"/>
      <c r="L75" s="5"/>
      <c r="M75" s="6"/>
      <c r="N75" s="4" t="str">
        <f aca="false">IF(M75="","",WORKDAY(M75,3))</f>
        <v/>
      </c>
      <c r="O75" s="4" t="str">
        <f aca="false">IF(M75="","",WORKDAY(M75,7))</f>
        <v/>
      </c>
      <c r="P75" s="4" t="str">
        <f aca="false">IF(M75="","",WORKDAY(M75,30))</f>
        <v/>
      </c>
      <c r="Q75" s="4" t="str">
        <f aca="true">IF(M75="","",IF(OR(T75="Sim",COUNTIF({"FECHADO";"Perdido";"Descartado"},L75)&gt;0),"",IF(TODAY()&lt;N75,N75,IF(TODAY()&lt;O75,O75,IF(TODAY()&lt;=P75,P75,"")))))</f>
        <v/>
      </c>
      <c r="R75" s="3" t="str">
        <f aca="true">IF(C75="","",IF(COUNTIF({"FECHADO";"Perdido";"Descartado"},L75)&gt;0,"-",IF(M75="","INICIAR",IF(T75="Sim","RESPONDEU",IF(Q75="","ESGOTADO",IF(Q75&lt;TODAY(),"ATRASADO",IF(Q75=TODAY(),"HOJE","No prazo")))))))</f>
        <v/>
      </c>
      <c r="S75" s="3" t="str">
        <f aca="true">IF(M75="","",TODAY()-M75)</f>
        <v/>
      </c>
      <c r="T75" s="7"/>
      <c r="U75" s="8"/>
      <c r="V75" s="8"/>
      <c r="W75" s="8"/>
      <c r="X75" s="4"/>
      <c r="Y75" s="5"/>
    </row>
    <row r="76" customFormat="false" ht="15" hidden="false" customHeight="false" outlineLevel="0" collapsed="false">
      <c r="A76" s="9"/>
      <c r="B76" s="10"/>
      <c r="C76" s="5"/>
      <c r="D76" s="5"/>
      <c r="E76" s="5"/>
      <c r="F76" s="5"/>
      <c r="G76" s="5"/>
      <c r="H76" s="5"/>
      <c r="I76" s="9" t="str">
        <f aca="false">IF(H76="","",HYPERLINK("https://wa.me/55"&amp;SUBSTITUTE(SUBSTITUTE(SUBSTITUTE(SUBSTITUTE(H76,"(",""),")",""),"-","")," ",""),"Abrir"))</f>
        <v/>
      </c>
      <c r="J76" s="9"/>
      <c r="K76" s="5"/>
      <c r="L76" s="5"/>
      <c r="M76" s="6"/>
      <c r="N76" s="10" t="str">
        <f aca="false">IF(M76="","",WORKDAY(M76,3))</f>
        <v/>
      </c>
      <c r="O76" s="10" t="str">
        <f aca="false">IF(M76="","",WORKDAY(M76,7))</f>
        <v/>
      </c>
      <c r="P76" s="10" t="str">
        <f aca="false">IF(M76="","",WORKDAY(M76,30))</f>
        <v/>
      </c>
      <c r="Q76" s="10" t="str">
        <f aca="true">IF(M76="","",IF(OR(T76="Sim",COUNTIF({"FECHADO";"Perdido";"Descartado"},L76)&gt;0),"",IF(TODAY()&lt;N76,N76,IF(TODAY()&lt;O76,O76,IF(TODAY()&lt;=P76,P76,"")))))</f>
        <v/>
      </c>
      <c r="R76" s="9" t="str">
        <f aca="true">IF(C76="","",IF(COUNTIF({"FECHADO";"Perdido";"Descartado"},L76)&gt;0,"-",IF(M76="","INICIAR",IF(T76="Sim","RESPONDEU",IF(Q76="","ESGOTADO",IF(Q76&lt;TODAY(),"ATRASADO",IF(Q76=TODAY(),"HOJE","No prazo")))))))</f>
        <v/>
      </c>
      <c r="S76" s="9" t="str">
        <f aca="true">IF(M76="","",TODAY()-M76)</f>
        <v/>
      </c>
      <c r="T76" s="7"/>
      <c r="U76" s="11"/>
      <c r="V76" s="11"/>
      <c r="W76" s="11"/>
      <c r="X76" s="10"/>
      <c r="Y76" s="5"/>
    </row>
    <row r="77" customFormat="false" ht="15" hidden="false" customHeight="false" outlineLevel="0" collapsed="false">
      <c r="A77" s="3"/>
      <c r="B77" s="4"/>
      <c r="C77" s="5"/>
      <c r="D77" s="5"/>
      <c r="E77" s="5"/>
      <c r="F77" s="5"/>
      <c r="G77" s="5"/>
      <c r="H77" s="5"/>
      <c r="I77" s="3" t="str">
        <f aca="false">IF(H77="","",HYPERLINK("https://wa.me/55"&amp;SUBSTITUTE(SUBSTITUTE(SUBSTITUTE(SUBSTITUTE(H77,"(",""),")",""),"-","")," ",""),"Abrir"))</f>
        <v/>
      </c>
      <c r="J77" s="3"/>
      <c r="K77" s="5"/>
      <c r="L77" s="5"/>
      <c r="M77" s="6"/>
      <c r="N77" s="4" t="str">
        <f aca="false">IF(M77="","",WORKDAY(M77,3))</f>
        <v/>
      </c>
      <c r="O77" s="4" t="str">
        <f aca="false">IF(M77="","",WORKDAY(M77,7))</f>
        <v/>
      </c>
      <c r="P77" s="4" t="str">
        <f aca="false">IF(M77="","",WORKDAY(M77,30))</f>
        <v/>
      </c>
      <c r="Q77" s="4" t="str">
        <f aca="true">IF(M77="","",IF(OR(T77="Sim",COUNTIF({"FECHADO";"Perdido";"Descartado"},L77)&gt;0),"",IF(TODAY()&lt;N77,N77,IF(TODAY()&lt;O77,O77,IF(TODAY()&lt;=P77,P77,"")))))</f>
        <v/>
      </c>
      <c r="R77" s="3" t="str">
        <f aca="true">IF(C77="","",IF(COUNTIF({"FECHADO";"Perdido";"Descartado"},L77)&gt;0,"-",IF(M77="","INICIAR",IF(T77="Sim","RESPONDEU",IF(Q77="","ESGOTADO",IF(Q77&lt;TODAY(),"ATRASADO",IF(Q77=TODAY(),"HOJE","No prazo")))))))</f>
        <v/>
      </c>
      <c r="S77" s="3" t="str">
        <f aca="true">IF(M77="","",TODAY()-M77)</f>
        <v/>
      </c>
      <c r="T77" s="7"/>
      <c r="U77" s="8"/>
      <c r="V77" s="8"/>
      <c r="W77" s="8"/>
      <c r="X77" s="4"/>
      <c r="Y77" s="5"/>
    </row>
    <row r="78" customFormat="false" ht="15" hidden="false" customHeight="false" outlineLevel="0" collapsed="false">
      <c r="A78" s="9"/>
      <c r="B78" s="10"/>
      <c r="C78" s="5"/>
      <c r="D78" s="5"/>
      <c r="E78" s="5"/>
      <c r="F78" s="5"/>
      <c r="G78" s="5"/>
      <c r="H78" s="5"/>
      <c r="I78" s="9" t="str">
        <f aca="false">IF(H78="","",HYPERLINK("https://wa.me/55"&amp;SUBSTITUTE(SUBSTITUTE(SUBSTITUTE(SUBSTITUTE(H78,"(",""),")",""),"-","")," ",""),"Abrir"))</f>
        <v/>
      </c>
      <c r="J78" s="9"/>
      <c r="K78" s="5"/>
      <c r="L78" s="5"/>
      <c r="M78" s="6"/>
      <c r="N78" s="10" t="str">
        <f aca="false">IF(M78="","",WORKDAY(M78,3))</f>
        <v/>
      </c>
      <c r="O78" s="10" t="str">
        <f aca="false">IF(M78="","",WORKDAY(M78,7))</f>
        <v/>
      </c>
      <c r="P78" s="10" t="str">
        <f aca="false">IF(M78="","",WORKDAY(M78,30))</f>
        <v/>
      </c>
      <c r="Q78" s="10" t="str">
        <f aca="true">IF(M78="","",IF(OR(T78="Sim",COUNTIF({"FECHADO";"Perdido";"Descartado"},L78)&gt;0),"",IF(TODAY()&lt;N78,N78,IF(TODAY()&lt;O78,O78,IF(TODAY()&lt;=P78,P78,"")))))</f>
        <v/>
      </c>
      <c r="R78" s="9" t="str">
        <f aca="true">IF(C78="","",IF(COUNTIF({"FECHADO";"Perdido";"Descartado"},L78)&gt;0,"-",IF(M78="","INICIAR",IF(T78="Sim","RESPONDEU",IF(Q78="","ESGOTADO",IF(Q78&lt;TODAY(),"ATRASADO",IF(Q78=TODAY(),"HOJE","No prazo")))))))</f>
        <v/>
      </c>
      <c r="S78" s="9" t="str">
        <f aca="true">IF(M78="","",TODAY()-M78)</f>
        <v/>
      </c>
      <c r="T78" s="7"/>
      <c r="U78" s="11"/>
      <c r="V78" s="11"/>
      <c r="W78" s="11"/>
      <c r="X78" s="10"/>
      <c r="Y78" s="5"/>
    </row>
    <row r="79" customFormat="false" ht="15" hidden="false" customHeight="false" outlineLevel="0" collapsed="false">
      <c r="A79" s="3"/>
      <c r="B79" s="4"/>
      <c r="C79" s="5"/>
      <c r="D79" s="5"/>
      <c r="E79" s="5"/>
      <c r="F79" s="5"/>
      <c r="G79" s="5"/>
      <c r="H79" s="5"/>
      <c r="I79" s="3" t="str">
        <f aca="false">IF(H79="","",HYPERLINK("https://wa.me/55"&amp;SUBSTITUTE(SUBSTITUTE(SUBSTITUTE(SUBSTITUTE(H79,"(",""),")",""),"-","")," ",""),"Abrir"))</f>
        <v/>
      </c>
      <c r="J79" s="3"/>
      <c r="K79" s="5"/>
      <c r="L79" s="5"/>
      <c r="M79" s="6"/>
      <c r="N79" s="4" t="str">
        <f aca="false">IF(M79="","",WORKDAY(M79,3))</f>
        <v/>
      </c>
      <c r="O79" s="4" t="str">
        <f aca="false">IF(M79="","",WORKDAY(M79,7))</f>
        <v/>
      </c>
      <c r="P79" s="4" t="str">
        <f aca="false">IF(M79="","",WORKDAY(M79,30))</f>
        <v/>
      </c>
      <c r="Q79" s="4" t="str">
        <f aca="true">IF(M79="","",IF(OR(T79="Sim",COUNTIF({"FECHADO";"Perdido";"Descartado"},L79)&gt;0),"",IF(TODAY()&lt;N79,N79,IF(TODAY()&lt;O79,O79,IF(TODAY()&lt;=P79,P79,"")))))</f>
        <v/>
      </c>
      <c r="R79" s="3" t="str">
        <f aca="true">IF(C79="","",IF(COUNTIF({"FECHADO";"Perdido";"Descartado"},L79)&gt;0,"-",IF(M79="","INICIAR",IF(T79="Sim","RESPONDEU",IF(Q79="","ESGOTADO",IF(Q79&lt;TODAY(),"ATRASADO",IF(Q79=TODAY(),"HOJE","No prazo")))))))</f>
        <v/>
      </c>
      <c r="S79" s="3" t="str">
        <f aca="true">IF(M79="","",TODAY()-M79)</f>
        <v/>
      </c>
      <c r="T79" s="7"/>
      <c r="U79" s="8"/>
      <c r="V79" s="8"/>
      <c r="W79" s="8"/>
      <c r="X79" s="4"/>
      <c r="Y79" s="5"/>
    </row>
    <row r="80" customFormat="false" ht="15" hidden="false" customHeight="false" outlineLevel="0" collapsed="false">
      <c r="A80" s="9"/>
      <c r="B80" s="10"/>
      <c r="C80" s="5"/>
      <c r="D80" s="5"/>
      <c r="E80" s="5"/>
      <c r="F80" s="5"/>
      <c r="G80" s="5"/>
      <c r="H80" s="5"/>
      <c r="I80" s="9" t="str">
        <f aca="false">IF(H80="","",HYPERLINK("https://wa.me/55"&amp;SUBSTITUTE(SUBSTITUTE(SUBSTITUTE(SUBSTITUTE(H80,"(",""),")",""),"-","")," ",""),"Abrir"))</f>
        <v/>
      </c>
      <c r="J80" s="9"/>
      <c r="K80" s="5"/>
      <c r="L80" s="5"/>
      <c r="M80" s="6"/>
      <c r="N80" s="10" t="str">
        <f aca="false">IF(M80="","",WORKDAY(M80,3))</f>
        <v/>
      </c>
      <c r="O80" s="10" t="str">
        <f aca="false">IF(M80="","",WORKDAY(M80,7))</f>
        <v/>
      </c>
      <c r="P80" s="10" t="str">
        <f aca="false">IF(M80="","",WORKDAY(M80,30))</f>
        <v/>
      </c>
      <c r="Q80" s="10" t="str">
        <f aca="true">IF(M80="","",IF(OR(T80="Sim",COUNTIF({"FECHADO";"Perdido";"Descartado"},L80)&gt;0),"",IF(TODAY()&lt;N80,N80,IF(TODAY()&lt;O80,O80,IF(TODAY()&lt;=P80,P80,"")))))</f>
        <v/>
      </c>
      <c r="R80" s="9" t="str">
        <f aca="true">IF(C80="","",IF(COUNTIF({"FECHADO";"Perdido";"Descartado"},L80)&gt;0,"-",IF(M80="","INICIAR",IF(T80="Sim","RESPONDEU",IF(Q80="","ESGOTADO",IF(Q80&lt;TODAY(),"ATRASADO",IF(Q80=TODAY(),"HOJE","No prazo")))))))</f>
        <v/>
      </c>
      <c r="S80" s="9" t="str">
        <f aca="true">IF(M80="","",TODAY()-M80)</f>
        <v/>
      </c>
      <c r="T80" s="7"/>
      <c r="U80" s="11"/>
      <c r="V80" s="11"/>
      <c r="W80" s="11"/>
      <c r="X80" s="10"/>
      <c r="Y80" s="5"/>
    </row>
    <row r="81" customFormat="false" ht="15" hidden="false" customHeight="false" outlineLevel="0" collapsed="false">
      <c r="A81" s="3"/>
      <c r="B81" s="4"/>
      <c r="C81" s="5"/>
      <c r="D81" s="5"/>
      <c r="E81" s="5"/>
      <c r="F81" s="5"/>
      <c r="G81" s="5"/>
      <c r="H81" s="5"/>
      <c r="I81" s="3" t="str">
        <f aca="false">IF(H81="","",HYPERLINK("https://wa.me/55"&amp;SUBSTITUTE(SUBSTITUTE(SUBSTITUTE(SUBSTITUTE(H81,"(",""),")",""),"-","")," ",""),"Abrir"))</f>
        <v/>
      </c>
      <c r="J81" s="3"/>
      <c r="K81" s="5"/>
      <c r="L81" s="5"/>
      <c r="M81" s="6"/>
      <c r="N81" s="4" t="str">
        <f aca="false">IF(M81="","",WORKDAY(M81,3))</f>
        <v/>
      </c>
      <c r="O81" s="4" t="str">
        <f aca="false">IF(M81="","",WORKDAY(M81,7))</f>
        <v/>
      </c>
      <c r="P81" s="4" t="str">
        <f aca="false">IF(M81="","",WORKDAY(M81,30))</f>
        <v/>
      </c>
      <c r="Q81" s="4" t="str">
        <f aca="true">IF(M81="","",IF(OR(T81="Sim",COUNTIF({"FECHADO";"Perdido";"Descartado"},L81)&gt;0),"",IF(TODAY()&lt;N81,N81,IF(TODAY()&lt;O81,O81,IF(TODAY()&lt;=P81,P81,"")))))</f>
        <v/>
      </c>
      <c r="R81" s="3" t="str">
        <f aca="true">IF(C81="","",IF(COUNTIF({"FECHADO";"Perdido";"Descartado"},L81)&gt;0,"-",IF(M81="","INICIAR",IF(T81="Sim","RESPONDEU",IF(Q81="","ESGOTADO",IF(Q81&lt;TODAY(),"ATRASADO",IF(Q81=TODAY(),"HOJE","No prazo")))))))</f>
        <v/>
      </c>
      <c r="S81" s="3" t="str">
        <f aca="true">IF(M81="","",TODAY()-M81)</f>
        <v/>
      </c>
      <c r="T81" s="7"/>
      <c r="U81" s="8"/>
      <c r="V81" s="8"/>
      <c r="W81" s="8"/>
      <c r="X81" s="4"/>
      <c r="Y81" s="5"/>
    </row>
    <row r="82" customFormat="false" ht="15" hidden="false" customHeight="false" outlineLevel="0" collapsed="false">
      <c r="A82" s="9"/>
      <c r="B82" s="10"/>
      <c r="C82" s="5"/>
      <c r="D82" s="5"/>
      <c r="E82" s="5"/>
      <c r="F82" s="5"/>
      <c r="G82" s="5"/>
      <c r="H82" s="5"/>
      <c r="I82" s="9" t="str">
        <f aca="false">IF(H82="","",HYPERLINK("https://wa.me/55"&amp;SUBSTITUTE(SUBSTITUTE(SUBSTITUTE(SUBSTITUTE(H82,"(",""),")",""),"-","")," ",""),"Abrir"))</f>
        <v/>
      </c>
      <c r="J82" s="9"/>
      <c r="K82" s="5"/>
      <c r="L82" s="5"/>
      <c r="M82" s="6"/>
      <c r="N82" s="10" t="str">
        <f aca="false">IF(M82="","",WORKDAY(M82,3))</f>
        <v/>
      </c>
      <c r="O82" s="10" t="str">
        <f aca="false">IF(M82="","",WORKDAY(M82,7))</f>
        <v/>
      </c>
      <c r="P82" s="10" t="str">
        <f aca="false">IF(M82="","",WORKDAY(M82,30))</f>
        <v/>
      </c>
      <c r="Q82" s="10" t="str">
        <f aca="true">IF(M82="","",IF(OR(T82="Sim",COUNTIF({"FECHADO";"Perdido";"Descartado"},L82)&gt;0),"",IF(TODAY()&lt;N82,N82,IF(TODAY()&lt;O82,O82,IF(TODAY()&lt;=P82,P82,"")))))</f>
        <v/>
      </c>
      <c r="R82" s="9" t="str">
        <f aca="true">IF(C82="","",IF(COUNTIF({"FECHADO";"Perdido";"Descartado"},L82)&gt;0,"-",IF(M82="","INICIAR",IF(T82="Sim","RESPONDEU",IF(Q82="","ESGOTADO",IF(Q82&lt;TODAY(),"ATRASADO",IF(Q82=TODAY(),"HOJE","No prazo")))))))</f>
        <v/>
      </c>
      <c r="S82" s="9" t="str">
        <f aca="true">IF(M82="","",TODAY()-M82)</f>
        <v/>
      </c>
      <c r="T82" s="7"/>
      <c r="U82" s="11"/>
      <c r="V82" s="11"/>
      <c r="W82" s="11"/>
      <c r="X82" s="10"/>
      <c r="Y82" s="5"/>
    </row>
    <row r="83" customFormat="false" ht="15" hidden="false" customHeight="false" outlineLevel="0" collapsed="false">
      <c r="A83" s="3"/>
      <c r="B83" s="4"/>
      <c r="C83" s="5"/>
      <c r="D83" s="5"/>
      <c r="E83" s="5"/>
      <c r="F83" s="5"/>
      <c r="G83" s="5"/>
      <c r="H83" s="5"/>
      <c r="I83" s="3" t="str">
        <f aca="false">IF(H83="","",HYPERLINK("https://wa.me/55"&amp;SUBSTITUTE(SUBSTITUTE(SUBSTITUTE(SUBSTITUTE(H83,"(",""),")",""),"-","")," ",""),"Abrir"))</f>
        <v/>
      </c>
      <c r="J83" s="3"/>
      <c r="K83" s="5"/>
      <c r="L83" s="5"/>
      <c r="M83" s="6"/>
      <c r="N83" s="4" t="str">
        <f aca="false">IF(M83="","",WORKDAY(M83,3))</f>
        <v/>
      </c>
      <c r="O83" s="4" t="str">
        <f aca="false">IF(M83="","",WORKDAY(M83,7))</f>
        <v/>
      </c>
      <c r="P83" s="4" t="str">
        <f aca="false">IF(M83="","",WORKDAY(M83,30))</f>
        <v/>
      </c>
      <c r="Q83" s="4" t="str">
        <f aca="true">IF(M83="","",IF(OR(T83="Sim",COUNTIF({"FECHADO";"Perdido";"Descartado"},L83)&gt;0),"",IF(TODAY()&lt;N83,N83,IF(TODAY()&lt;O83,O83,IF(TODAY()&lt;=P83,P83,"")))))</f>
        <v/>
      </c>
      <c r="R83" s="3" t="str">
        <f aca="true">IF(C83="","",IF(COUNTIF({"FECHADO";"Perdido";"Descartado"},L83)&gt;0,"-",IF(M83="","INICIAR",IF(T83="Sim","RESPONDEU",IF(Q83="","ESGOTADO",IF(Q83&lt;TODAY(),"ATRASADO",IF(Q83=TODAY(),"HOJE","No prazo")))))))</f>
        <v/>
      </c>
      <c r="S83" s="3" t="str">
        <f aca="true">IF(M83="","",TODAY()-M83)</f>
        <v/>
      </c>
      <c r="T83" s="7"/>
      <c r="U83" s="8"/>
      <c r="V83" s="8"/>
      <c r="W83" s="8"/>
      <c r="X83" s="4"/>
      <c r="Y83" s="5"/>
    </row>
    <row r="84" customFormat="false" ht="15" hidden="false" customHeight="false" outlineLevel="0" collapsed="false">
      <c r="A84" s="9"/>
      <c r="B84" s="10"/>
      <c r="C84" s="5"/>
      <c r="D84" s="5"/>
      <c r="E84" s="5"/>
      <c r="F84" s="5"/>
      <c r="G84" s="5"/>
      <c r="H84" s="5"/>
      <c r="I84" s="9" t="str">
        <f aca="false">IF(H84="","",HYPERLINK("https://wa.me/55"&amp;SUBSTITUTE(SUBSTITUTE(SUBSTITUTE(SUBSTITUTE(H84,"(",""),")",""),"-","")," ",""),"Abrir"))</f>
        <v/>
      </c>
      <c r="J84" s="9"/>
      <c r="K84" s="5"/>
      <c r="L84" s="5"/>
      <c r="M84" s="6"/>
      <c r="N84" s="10" t="str">
        <f aca="false">IF(M84="","",WORKDAY(M84,3))</f>
        <v/>
      </c>
      <c r="O84" s="10" t="str">
        <f aca="false">IF(M84="","",WORKDAY(M84,7))</f>
        <v/>
      </c>
      <c r="P84" s="10" t="str">
        <f aca="false">IF(M84="","",WORKDAY(M84,30))</f>
        <v/>
      </c>
      <c r="Q84" s="10" t="str">
        <f aca="true">IF(M84="","",IF(OR(T84="Sim",COUNTIF({"FECHADO";"Perdido";"Descartado"},L84)&gt;0),"",IF(TODAY()&lt;N84,N84,IF(TODAY()&lt;O84,O84,IF(TODAY()&lt;=P84,P84,"")))))</f>
        <v/>
      </c>
      <c r="R84" s="9" t="str">
        <f aca="true">IF(C84="","",IF(COUNTIF({"FECHADO";"Perdido";"Descartado"},L84)&gt;0,"-",IF(M84="","INICIAR",IF(T84="Sim","RESPONDEU",IF(Q84="","ESGOTADO",IF(Q84&lt;TODAY(),"ATRASADO",IF(Q84=TODAY(),"HOJE","No prazo")))))))</f>
        <v/>
      </c>
      <c r="S84" s="9" t="str">
        <f aca="true">IF(M84="","",TODAY()-M84)</f>
        <v/>
      </c>
      <c r="T84" s="7"/>
      <c r="U84" s="11"/>
      <c r="V84" s="11"/>
      <c r="W84" s="11"/>
      <c r="X84" s="10"/>
      <c r="Y84" s="5"/>
    </row>
    <row r="85" customFormat="false" ht="15" hidden="false" customHeight="false" outlineLevel="0" collapsed="false">
      <c r="A85" s="3"/>
      <c r="B85" s="4"/>
      <c r="C85" s="5"/>
      <c r="D85" s="5"/>
      <c r="E85" s="5"/>
      <c r="F85" s="5"/>
      <c r="G85" s="5"/>
      <c r="H85" s="5"/>
      <c r="I85" s="3" t="str">
        <f aca="false">IF(H85="","",HYPERLINK("https://wa.me/55"&amp;SUBSTITUTE(SUBSTITUTE(SUBSTITUTE(SUBSTITUTE(H85,"(",""),")",""),"-","")," ",""),"Abrir"))</f>
        <v/>
      </c>
      <c r="J85" s="3"/>
      <c r="K85" s="5"/>
      <c r="L85" s="5"/>
      <c r="M85" s="6"/>
      <c r="N85" s="4" t="str">
        <f aca="false">IF(M85="","",WORKDAY(M85,3))</f>
        <v/>
      </c>
      <c r="O85" s="4" t="str">
        <f aca="false">IF(M85="","",WORKDAY(M85,7))</f>
        <v/>
      </c>
      <c r="P85" s="4" t="str">
        <f aca="false">IF(M85="","",WORKDAY(M85,30))</f>
        <v/>
      </c>
      <c r="Q85" s="4" t="str">
        <f aca="true">IF(M85="","",IF(OR(T85="Sim",COUNTIF({"FECHADO";"Perdido";"Descartado"},L85)&gt;0),"",IF(TODAY()&lt;N85,N85,IF(TODAY()&lt;O85,O85,IF(TODAY()&lt;=P85,P85,"")))))</f>
        <v/>
      </c>
      <c r="R85" s="3" t="str">
        <f aca="true">IF(C85="","",IF(COUNTIF({"FECHADO";"Perdido";"Descartado"},L85)&gt;0,"-",IF(M85="","INICIAR",IF(T85="Sim","RESPONDEU",IF(Q85="","ESGOTADO",IF(Q85&lt;TODAY(),"ATRASADO",IF(Q85=TODAY(),"HOJE","No prazo")))))))</f>
        <v/>
      </c>
      <c r="S85" s="3" t="str">
        <f aca="true">IF(M85="","",TODAY()-M85)</f>
        <v/>
      </c>
      <c r="T85" s="7"/>
      <c r="U85" s="8"/>
      <c r="V85" s="8"/>
      <c r="W85" s="8"/>
      <c r="X85" s="4"/>
      <c r="Y85" s="5"/>
    </row>
    <row r="86" customFormat="false" ht="15" hidden="false" customHeight="false" outlineLevel="0" collapsed="false">
      <c r="A86" s="9"/>
      <c r="B86" s="10"/>
      <c r="C86" s="5"/>
      <c r="D86" s="5"/>
      <c r="E86" s="5"/>
      <c r="F86" s="5"/>
      <c r="G86" s="5"/>
      <c r="H86" s="5"/>
      <c r="I86" s="9" t="str">
        <f aca="false">IF(H86="","",HYPERLINK("https://wa.me/55"&amp;SUBSTITUTE(SUBSTITUTE(SUBSTITUTE(SUBSTITUTE(H86,"(",""),")",""),"-","")," ",""),"Abrir"))</f>
        <v/>
      </c>
      <c r="J86" s="9"/>
      <c r="K86" s="5"/>
      <c r="L86" s="5"/>
      <c r="M86" s="6"/>
      <c r="N86" s="10" t="str">
        <f aca="false">IF(M86="","",WORKDAY(M86,3))</f>
        <v/>
      </c>
      <c r="O86" s="10" t="str">
        <f aca="false">IF(M86="","",WORKDAY(M86,7))</f>
        <v/>
      </c>
      <c r="P86" s="10" t="str">
        <f aca="false">IF(M86="","",WORKDAY(M86,30))</f>
        <v/>
      </c>
      <c r="Q86" s="10" t="str">
        <f aca="true">IF(M86="","",IF(OR(T86="Sim",COUNTIF({"FECHADO";"Perdido";"Descartado"},L86)&gt;0),"",IF(TODAY()&lt;N86,N86,IF(TODAY()&lt;O86,O86,IF(TODAY()&lt;=P86,P86,"")))))</f>
        <v/>
      </c>
      <c r="R86" s="9" t="str">
        <f aca="true">IF(C86="","",IF(COUNTIF({"FECHADO";"Perdido";"Descartado"},L86)&gt;0,"-",IF(M86="","INICIAR",IF(T86="Sim","RESPONDEU",IF(Q86="","ESGOTADO",IF(Q86&lt;TODAY(),"ATRASADO",IF(Q86=TODAY(),"HOJE","No prazo")))))))</f>
        <v/>
      </c>
      <c r="S86" s="9" t="str">
        <f aca="true">IF(M86="","",TODAY()-M86)</f>
        <v/>
      </c>
      <c r="T86" s="7"/>
      <c r="U86" s="11"/>
      <c r="V86" s="11"/>
      <c r="W86" s="11"/>
      <c r="X86" s="10"/>
      <c r="Y86" s="5"/>
    </row>
    <row r="87" customFormat="false" ht="15" hidden="false" customHeight="false" outlineLevel="0" collapsed="false">
      <c r="A87" s="3"/>
      <c r="B87" s="4"/>
      <c r="C87" s="5"/>
      <c r="D87" s="5"/>
      <c r="E87" s="5"/>
      <c r="F87" s="5"/>
      <c r="G87" s="5"/>
      <c r="H87" s="5"/>
      <c r="I87" s="3" t="str">
        <f aca="false">IF(H87="","",HYPERLINK("https://wa.me/55"&amp;SUBSTITUTE(SUBSTITUTE(SUBSTITUTE(SUBSTITUTE(H87,"(",""),")",""),"-","")," ",""),"Abrir"))</f>
        <v/>
      </c>
      <c r="J87" s="3"/>
      <c r="K87" s="5"/>
      <c r="L87" s="5"/>
      <c r="M87" s="6"/>
      <c r="N87" s="4" t="str">
        <f aca="false">IF(M87="","",WORKDAY(M87,3))</f>
        <v/>
      </c>
      <c r="O87" s="4" t="str">
        <f aca="false">IF(M87="","",WORKDAY(M87,7))</f>
        <v/>
      </c>
      <c r="P87" s="4" t="str">
        <f aca="false">IF(M87="","",WORKDAY(M87,30))</f>
        <v/>
      </c>
      <c r="Q87" s="4" t="str">
        <f aca="true">IF(M87="","",IF(OR(T87="Sim",COUNTIF({"FECHADO";"Perdido";"Descartado"},L87)&gt;0),"",IF(TODAY()&lt;N87,N87,IF(TODAY()&lt;O87,O87,IF(TODAY()&lt;=P87,P87,"")))))</f>
        <v/>
      </c>
      <c r="R87" s="3" t="str">
        <f aca="true">IF(C87="","",IF(COUNTIF({"FECHADO";"Perdido";"Descartado"},L87)&gt;0,"-",IF(M87="","INICIAR",IF(T87="Sim","RESPONDEU",IF(Q87="","ESGOTADO",IF(Q87&lt;TODAY(),"ATRASADO",IF(Q87=TODAY(),"HOJE","No prazo")))))))</f>
        <v/>
      </c>
      <c r="S87" s="3" t="str">
        <f aca="true">IF(M87="","",TODAY()-M87)</f>
        <v/>
      </c>
      <c r="T87" s="7"/>
      <c r="U87" s="8"/>
      <c r="V87" s="8"/>
      <c r="W87" s="8"/>
      <c r="X87" s="4"/>
      <c r="Y87" s="5"/>
    </row>
    <row r="88" customFormat="false" ht="15" hidden="false" customHeight="false" outlineLevel="0" collapsed="false">
      <c r="A88" s="9"/>
      <c r="B88" s="10"/>
      <c r="C88" s="5"/>
      <c r="D88" s="5"/>
      <c r="E88" s="5"/>
      <c r="F88" s="5"/>
      <c r="G88" s="5"/>
      <c r="H88" s="5"/>
      <c r="I88" s="9" t="str">
        <f aca="false">IF(H88="","",HYPERLINK("https://wa.me/55"&amp;SUBSTITUTE(SUBSTITUTE(SUBSTITUTE(SUBSTITUTE(H88,"(",""),")",""),"-","")," ",""),"Abrir"))</f>
        <v/>
      </c>
      <c r="J88" s="9"/>
      <c r="K88" s="5"/>
      <c r="L88" s="5"/>
      <c r="M88" s="6"/>
      <c r="N88" s="10" t="str">
        <f aca="false">IF(M88="","",WORKDAY(M88,3))</f>
        <v/>
      </c>
      <c r="O88" s="10" t="str">
        <f aca="false">IF(M88="","",WORKDAY(M88,7))</f>
        <v/>
      </c>
      <c r="P88" s="10" t="str">
        <f aca="false">IF(M88="","",WORKDAY(M88,30))</f>
        <v/>
      </c>
      <c r="Q88" s="10" t="str">
        <f aca="true">IF(M88="","",IF(OR(T88="Sim",COUNTIF({"FECHADO";"Perdido";"Descartado"},L88)&gt;0),"",IF(TODAY()&lt;N88,N88,IF(TODAY()&lt;O88,O88,IF(TODAY()&lt;=P88,P88,"")))))</f>
        <v/>
      </c>
      <c r="R88" s="9" t="str">
        <f aca="true">IF(C88="","",IF(COUNTIF({"FECHADO";"Perdido";"Descartado"},L88)&gt;0,"-",IF(M88="","INICIAR",IF(T88="Sim","RESPONDEU",IF(Q88="","ESGOTADO",IF(Q88&lt;TODAY(),"ATRASADO",IF(Q88=TODAY(),"HOJE","No prazo")))))))</f>
        <v/>
      </c>
      <c r="S88" s="9" t="str">
        <f aca="true">IF(M88="","",TODAY()-M88)</f>
        <v/>
      </c>
      <c r="T88" s="7"/>
      <c r="U88" s="11"/>
      <c r="V88" s="11"/>
      <c r="W88" s="11"/>
      <c r="X88" s="10"/>
      <c r="Y88" s="5"/>
    </row>
    <row r="89" customFormat="false" ht="15" hidden="false" customHeight="false" outlineLevel="0" collapsed="false">
      <c r="A89" s="3"/>
      <c r="B89" s="4"/>
      <c r="C89" s="5"/>
      <c r="D89" s="5"/>
      <c r="E89" s="5"/>
      <c r="F89" s="5"/>
      <c r="G89" s="5"/>
      <c r="H89" s="5"/>
      <c r="I89" s="3" t="str">
        <f aca="false">IF(H89="","",HYPERLINK("https://wa.me/55"&amp;SUBSTITUTE(SUBSTITUTE(SUBSTITUTE(SUBSTITUTE(H89,"(",""),")",""),"-","")," ",""),"Abrir"))</f>
        <v/>
      </c>
      <c r="J89" s="3"/>
      <c r="K89" s="5"/>
      <c r="L89" s="5"/>
      <c r="M89" s="6"/>
      <c r="N89" s="4" t="str">
        <f aca="false">IF(M89="","",WORKDAY(M89,3))</f>
        <v/>
      </c>
      <c r="O89" s="4" t="str">
        <f aca="false">IF(M89="","",WORKDAY(M89,7))</f>
        <v/>
      </c>
      <c r="P89" s="4" t="str">
        <f aca="false">IF(M89="","",WORKDAY(M89,30))</f>
        <v/>
      </c>
      <c r="Q89" s="4" t="str">
        <f aca="true">IF(M89="","",IF(OR(T89="Sim",COUNTIF({"FECHADO";"Perdido";"Descartado"},L89)&gt;0),"",IF(TODAY()&lt;N89,N89,IF(TODAY()&lt;O89,O89,IF(TODAY()&lt;=P89,P89,"")))))</f>
        <v/>
      </c>
      <c r="R89" s="3" t="str">
        <f aca="true">IF(C89="","",IF(COUNTIF({"FECHADO";"Perdido";"Descartado"},L89)&gt;0,"-",IF(M89="","INICIAR",IF(T89="Sim","RESPONDEU",IF(Q89="","ESGOTADO",IF(Q89&lt;TODAY(),"ATRASADO",IF(Q89=TODAY(),"HOJE","No prazo")))))))</f>
        <v/>
      </c>
      <c r="S89" s="3" t="str">
        <f aca="true">IF(M89="","",TODAY()-M89)</f>
        <v/>
      </c>
      <c r="T89" s="7"/>
      <c r="U89" s="8"/>
      <c r="V89" s="8"/>
      <c r="W89" s="8"/>
      <c r="X89" s="4"/>
      <c r="Y89" s="5"/>
    </row>
    <row r="90" customFormat="false" ht="15" hidden="false" customHeight="false" outlineLevel="0" collapsed="false">
      <c r="A90" s="9"/>
      <c r="B90" s="10"/>
      <c r="C90" s="5"/>
      <c r="D90" s="5"/>
      <c r="E90" s="5"/>
      <c r="F90" s="5"/>
      <c r="G90" s="5"/>
      <c r="H90" s="5"/>
      <c r="I90" s="9" t="str">
        <f aca="false">IF(H90="","",HYPERLINK("https://wa.me/55"&amp;SUBSTITUTE(SUBSTITUTE(SUBSTITUTE(SUBSTITUTE(H90,"(",""),")",""),"-","")," ",""),"Abrir"))</f>
        <v/>
      </c>
      <c r="J90" s="9"/>
      <c r="K90" s="5"/>
      <c r="L90" s="5"/>
      <c r="M90" s="6"/>
      <c r="N90" s="10" t="str">
        <f aca="false">IF(M90="","",WORKDAY(M90,3))</f>
        <v/>
      </c>
      <c r="O90" s="10" t="str">
        <f aca="false">IF(M90="","",WORKDAY(M90,7))</f>
        <v/>
      </c>
      <c r="P90" s="10" t="str">
        <f aca="false">IF(M90="","",WORKDAY(M90,30))</f>
        <v/>
      </c>
      <c r="Q90" s="10" t="str">
        <f aca="true">IF(M90="","",IF(OR(T90="Sim",COUNTIF({"FECHADO";"Perdido";"Descartado"},L90)&gt;0),"",IF(TODAY()&lt;N90,N90,IF(TODAY()&lt;O90,O90,IF(TODAY()&lt;=P90,P90,"")))))</f>
        <v/>
      </c>
      <c r="R90" s="9" t="str">
        <f aca="true">IF(C90="","",IF(COUNTIF({"FECHADO";"Perdido";"Descartado"},L90)&gt;0,"-",IF(M90="","INICIAR",IF(T90="Sim","RESPONDEU",IF(Q90="","ESGOTADO",IF(Q90&lt;TODAY(),"ATRASADO",IF(Q90=TODAY(),"HOJE","No prazo")))))))</f>
        <v/>
      </c>
      <c r="S90" s="9" t="str">
        <f aca="true">IF(M90="","",TODAY()-M90)</f>
        <v/>
      </c>
      <c r="T90" s="7"/>
      <c r="U90" s="11"/>
      <c r="V90" s="11"/>
      <c r="W90" s="11"/>
      <c r="X90" s="10"/>
      <c r="Y90" s="5"/>
    </row>
    <row r="91" customFormat="false" ht="15" hidden="false" customHeight="false" outlineLevel="0" collapsed="false">
      <c r="A91" s="3"/>
      <c r="B91" s="4"/>
      <c r="C91" s="5"/>
      <c r="D91" s="5"/>
      <c r="E91" s="5"/>
      <c r="F91" s="5"/>
      <c r="G91" s="5"/>
      <c r="H91" s="5"/>
      <c r="I91" s="3" t="str">
        <f aca="false">IF(H91="","",HYPERLINK("https://wa.me/55"&amp;SUBSTITUTE(SUBSTITUTE(SUBSTITUTE(SUBSTITUTE(H91,"(",""),")",""),"-","")," ",""),"Abrir"))</f>
        <v/>
      </c>
      <c r="J91" s="3"/>
      <c r="K91" s="5"/>
      <c r="L91" s="5"/>
      <c r="M91" s="6"/>
      <c r="N91" s="4" t="str">
        <f aca="false">IF(M91="","",WORKDAY(M91,3))</f>
        <v/>
      </c>
      <c r="O91" s="4" t="str">
        <f aca="false">IF(M91="","",WORKDAY(M91,7))</f>
        <v/>
      </c>
      <c r="P91" s="4" t="str">
        <f aca="false">IF(M91="","",WORKDAY(M91,30))</f>
        <v/>
      </c>
      <c r="Q91" s="4" t="str">
        <f aca="true">IF(M91="","",IF(OR(T91="Sim",COUNTIF({"FECHADO";"Perdido";"Descartado"},L91)&gt;0),"",IF(TODAY()&lt;N91,N91,IF(TODAY()&lt;O91,O91,IF(TODAY()&lt;=P91,P91,"")))))</f>
        <v/>
      </c>
      <c r="R91" s="3" t="str">
        <f aca="true">IF(C91="","",IF(COUNTIF({"FECHADO";"Perdido";"Descartado"},L91)&gt;0,"-",IF(M91="","INICIAR",IF(T91="Sim","RESPONDEU",IF(Q91="","ESGOTADO",IF(Q91&lt;TODAY(),"ATRASADO",IF(Q91=TODAY(),"HOJE","No prazo")))))))</f>
        <v/>
      </c>
      <c r="S91" s="3" t="str">
        <f aca="true">IF(M91="","",TODAY()-M91)</f>
        <v/>
      </c>
      <c r="T91" s="7"/>
      <c r="U91" s="8"/>
      <c r="V91" s="8"/>
      <c r="W91" s="8"/>
      <c r="X91" s="4"/>
      <c r="Y91" s="5"/>
    </row>
    <row r="92" customFormat="false" ht="15" hidden="false" customHeight="false" outlineLevel="0" collapsed="false">
      <c r="A92" s="9"/>
      <c r="B92" s="10"/>
      <c r="C92" s="5"/>
      <c r="D92" s="5"/>
      <c r="E92" s="5"/>
      <c r="F92" s="5"/>
      <c r="G92" s="5"/>
      <c r="H92" s="5"/>
      <c r="I92" s="9" t="str">
        <f aca="false">IF(H92="","",HYPERLINK("https://wa.me/55"&amp;SUBSTITUTE(SUBSTITUTE(SUBSTITUTE(SUBSTITUTE(H92,"(",""),")",""),"-","")," ",""),"Abrir"))</f>
        <v/>
      </c>
      <c r="J92" s="9"/>
      <c r="K92" s="5"/>
      <c r="L92" s="5"/>
      <c r="M92" s="6"/>
      <c r="N92" s="10" t="str">
        <f aca="false">IF(M92="","",WORKDAY(M92,3))</f>
        <v/>
      </c>
      <c r="O92" s="10" t="str">
        <f aca="false">IF(M92="","",WORKDAY(M92,7))</f>
        <v/>
      </c>
      <c r="P92" s="10" t="str">
        <f aca="false">IF(M92="","",WORKDAY(M92,30))</f>
        <v/>
      </c>
      <c r="Q92" s="10" t="str">
        <f aca="true">IF(M92="","",IF(OR(T92="Sim",COUNTIF({"FECHADO";"Perdido";"Descartado"},L92)&gt;0),"",IF(TODAY()&lt;N92,N92,IF(TODAY()&lt;O92,O92,IF(TODAY()&lt;=P92,P92,"")))))</f>
        <v/>
      </c>
      <c r="R92" s="9" t="str">
        <f aca="true">IF(C92="","",IF(COUNTIF({"FECHADO";"Perdido";"Descartado"},L92)&gt;0,"-",IF(M92="","INICIAR",IF(T92="Sim","RESPONDEU",IF(Q92="","ESGOTADO",IF(Q92&lt;TODAY(),"ATRASADO",IF(Q92=TODAY(),"HOJE","No prazo")))))))</f>
        <v/>
      </c>
      <c r="S92" s="9" t="str">
        <f aca="true">IF(M92="","",TODAY()-M92)</f>
        <v/>
      </c>
      <c r="T92" s="7"/>
      <c r="U92" s="11"/>
      <c r="V92" s="11"/>
      <c r="W92" s="11"/>
      <c r="X92" s="10"/>
      <c r="Y92" s="5"/>
    </row>
    <row r="93" customFormat="false" ht="15" hidden="false" customHeight="false" outlineLevel="0" collapsed="false">
      <c r="A93" s="3"/>
      <c r="B93" s="4"/>
      <c r="C93" s="5"/>
      <c r="D93" s="5"/>
      <c r="E93" s="5"/>
      <c r="F93" s="5"/>
      <c r="G93" s="5"/>
      <c r="H93" s="5"/>
      <c r="I93" s="3" t="str">
        <f aca="false">IF(H93="","",HYPERLINK("https://wa.me/55"&amp;SUBSTITUTE(SUBSTITUTE(SUBSTITUTE(SUBSTITUTE(H93,"(",""),")",""),"-","")," ",""),"Abrir"))</f>
        <v/>
      </c>
      <c r="J93" s="3"/>
      <c r="K93" s="5"/>
      <c r="L93" s="5"/>
      <c r="M93" s="6"/>
      <c r="N93" s="4" t="str">
        <f aca="false">IF(M93="","",WORKDAY(M93,3))</f>
        <v/>
      </c>
      <c r="O93" s="4" t="str">
        <f aca="false">IF(M93="","",WORKDAY(M93,7))</f>
        <v/>
      </c>
      <c r="P93" s="4" t="str">
        <f aca="false">IF(M93="","",WORKDAY(M93,30))</f>
        <v/>
      </c>
      <c r="Q93" s="4" t="str">
        <f aca="true">IF(M93="","",IF(OR(T93="Sim",COUNTIF({"FECHADO";"Perdido";"Descartado"},L93)&gt;0),"",IF(TODAY()&lt;N93,N93,IF(TODAY()&lt;O93,O93,IF(TODAY()&lt;=P93,P93,"")))))</f>
        <v/>
      </c>
      <c r="R93" s="3" t="str">
        <f aca="true">IF(C93="","",IF(COUNTIF({"FECHADO";"Perdido";"Descartado"},L93)&gt;0,"-",IF(M93="","INICIAR",IF(T93="Sim","RESPONDEU",IF(Q93="","ESGOTADO",IF(Q93&lt;TODAY(),"ATRASADO",IF(Q93=TODAY(),"HOJE","No prazo")))))))</f>
        <v/>
      </c>
      <c r="S93" s="3" t="str">
        <f aca="true">IF(M93="","",TODAY()-M93)</f>
        <v/>
      </c>
      <c r="T93" s="7"/>
      <c r="U93" s="8"/>
      <c r="V93" s="8"/>
      <c r="W93" s="8"/>
      <c r="X93" s="4"/>
      <c r="Y93" s="5"/>
    </row>
    <row r="94" customFormat="false" ht="15" hidden="false" customHeight="false" outlineLevel="0" collapsed="false">
      <c r="A94" s="9"/>
      <c r="B94" s="10"/>
      <c r="C94" s="5"/>
      <c r="D94" s="5"/>
      <c r="E94" s="5"/>
      <c r="F94" s="5"/>
      <c r="G94" s="5"/>
      <c r="H94" s="5"/>
      <c r="I94" s="9" t="str">
        <f aca="false">IF(H94="","",HYPERLINK("https://wa.me/55"&amp;SUBSTITUTE(SUBSTITUTE(SUBSTITUTE(SUBSTITUTE(H94,"(",""),")",""),"-","")," ",""),"Abrir"))</f>
        <v/>
      </c>
      <c r="J94" s="9"/>
      <c r="K94" s="5"/>
      <c r="L94" s="5"/>
      <c r="M94" s="6"/>
      <c r="N94" s="10" t="str">
        <f aca="false">IF(M94="","",WORKDAY(M94,3))</f>
        <v/>
      </c>
      <c r="O94" s="10" t="str">
        <f aca="false">IF(M94="","",WORKDAY(M94,7))</f>
        <v/>
      </c>
      <c r="P94" s="10" t="str">
        <f aca="false">IF(M94="","",WORKDAY(M94,30))</f>
        <v/>
      </c>
      <c r="Q94" s="10" t="str">
        <f aca="true">IF(M94="","",IF(OR(T94="Sim",COUNTIF({"FECHADO";"Perdido";"Descartado"},L94)&gt;0),"",IF(TODAY()&lt;N94,N94,IF(TODAY()&lt;O94,O94,IF(TODAY()&lt;=P94,P94,"")))))</f>
        <v/>
      </c>
      <c r="R94" s="9" t="str">
        <f aca="true">IF(C94="","",IF(COUNTIF({"FECHADO";"Perdido";"Descartado"},L94)&gt;0,"-",IF(M94="","INICIAR",IF(T94="Sim","RESPONDEU",IF(Q94="","ESGOTADO",IF(Q94&lt;TODAY(),"ATRASADO",IF(Q94=TODAY(),"HOJE","No prazo")))))))</f>
        <v/>
      </c>
      <c r="S94" s="9" t="str">
        <f aca="true">IF(M94="","",TODAY()-M94)</f>
        <v/>
      </c>
      <c r="T94" s="7"/>
      <c r="U94" s="11"/>
      <c r="V94" s="11"/>
      <c r="W94" s="11"/>
      <c r="X94" s="10"/>
      <c r="Y94" s="5"/>
    </row>
    <row r="95" customFormat="false" ht="15" hidden="false" customHeight="false" outlineLevel="0" collapsed="false">
      <c r="A95" s="3"/>
      <c r="B95" s="4"/>
      <c r="C95" s="5"/>
      <c r="D95" s="5"/>
      <c r="E95" s="5"/>
      <c r="F95" s="5"/>
      <c r="G95" s="5"/>
      <c r="H95" s="5"/>
      <c r="I95" s="3" t="str">
        <f aca="false">IF(H95="","",HYPERLINK("https://wa.me/55"&amp;SUBSTITUTE(SUBSTITUTE(SUBSTITUTE(SUBSTITUTE(H95,"(",""),")",""),"-","")," ",""),"Abrir"))</f>
        <v/>
      </c>
      <c r="J95" s="3"/>
      <c r="K95" s="5"/>
      <c r="L95" s="5"/>
      <c r="M95" s="6"/>
      <c r="N95" s="4" t="str">
        <f aca="false">IF(M95="","",WORKDAY(M95,3))</f>
        <v/>
      </c>
      <c r="O95" s="4" t="str">
        <f aca="false">IF(M95="","",WORKDAY(M95,7))</f>
        <v/>
      </c>
      <c r="P95" s="4" t="str">
        <f aca="false">IF(M95="","",WORKDAY(M95,30))</f>
        <v/>
      </c>
      <c r="Q95" s="4" t="str">
        <f aca="true">IF(M95="","",IF(OR(T95="Sim",COUNTIF({"FECHADO";"Perdido";"Descartado"},L95)&gt;0),"",IF(TODAY()&lt;N95,N95,IF(TODAY()&lt;O95,O95,IF(TODAY()&lt;=P95,P95,"")))))</f>
        <v/>
      </c>
      <c r="R95" s="3" t="str">
        <f aca="true">IF(C95="","",IF(COUNTIF({"FECHADO";"Perdido";"Descartado"},L95)&gt;0,"-",IF(M95="","INICIAR",IF(T95="Sim","RESPONDEU",IF(Q95="","ESGOTADO",IF(Q95&lt;TODAY(),"ATRASADO",IF(Q95=TODAY(),"HOJE","No prazo")))))))</f>
        <v/>
      </c>
      <c r="S95" s="3" t="str">
        <f aca="true">IF(M95="","",TODAY()-M95)</f>
        <v/>
      </c>
      <c r="T95" s="7"/>
      <c r="U95" s="8"/>
      <c r="V95" s="8"/>
      <c r="W95" s="8"/>
      <c r="X95" s="4"/>
      <c r="Y95" s="5"/>
    </row>
    <row r="96" customFormat="false" ht="15" hidden="false" customHeight="false" outlineLevel="0" collapsed="false">
      <c r="A96" s="9"/>
      <c r="B96" s="10"/>
      <c r="C96" s="5"/>
      <c r="D96" s="5"/>
      <c r="E96" s="5"/>
      <c r="F96" s="5"/>
      <c r="G96" s="5"/>
      <c r="H96" s="5"/>
      <c r="I96" s="9" t="str">
        <f aca="false">IF(H96="","",HYPERLINK("https://wa.me/55"&amp;SUBSTITUTE(SUBSTITUTE(SUBSTITUTE(SUBSTITUTE(H96,"(",""),")",""),"-","")," ",""),"Abrir"))</f>
        <v/>
      </c>
      <c r="J96" s="9"/>
      <c r="K96" s="5"/>
      <c r="L96" s="5"/>
      <c r="M96" s="6"/>
      <c r="N96" s="10" t="str">
        <f aca="false">IF(M96="","",WORKDAY(M96,3))</f>
        <v/>
      </c>
      <c r="O96" s="10" t="str">
        <f aca="false">IF(M96="","",WORKDAY(M96,7))</f>
        <v/>
      </c>
      <c r="P96" s="10" t="str">
        <f aca="false">IF(M96="","",WORKDAY(M96,30))</f>
        <v/>
      </c>
      <c r="Q96" s="10" t="str">
        <f aca="true">IF(M96="","",IF(OR(T96="Sim",COUNTIF({"FECHADO";"Perdido";"Descartado"},L96)&gt;0),"",IF(TODAY()&lt;N96,N96,IF(TODAY()&lt;O96,O96,IF(TODAY()&lt;=P96,P96,"")))))</f>
        <v/>
      </c>
      <c r="R96" s="9" t="str">
        <f aca="true">IF(C96="","",IF(COUNTIF({"FECHADO";"Perdido";"Descartado"},L96)&gt;0,"-",IF(M96="","INICIAR",IF(T96="Sim","RESPONDEU",IF(Q96="","ESGOTADO",IF(Q96&lt;TODAY(),"ATRASADO",IF(Q96=TODAY(),"HOJE","No prazo")))))))</f>
        <v/>
      </c>
      <c r="S96" s="9" t="str">
        <f aca="true">IF(M96="","",TODAY()-M96)</f>
        <v/>
      </c>
      <c r="T96" s="7"/>
      <c r="U96" s="11"/>
      <c r="V96" s="11"/>
      <c r="W96" s="11"/>
      <c r="X96" s="10"/>
      <c r="Y96" s="5"/>
    </row>
    <row r="97" customFormat="false" ht="15" hidden="false" customHeight="false" outlineLevel="0" collapsed="false">
      <c r="A97" s="3"/>
      <c r="B97" s="4"/>
      <c r="C97" s="5"/>
      <c r="D97" s="5"/>
      <c r="E97" s="5"/>
      <c r="F97" s="5"/>
      <c r="G97" s="5"/>
      <c r="H97" s="5"/>
      <c r="I97" s="3" t="str">
        <f aca="false">IF(H97="","",HYPERLINK("https://wa.me/55"&amp;SUBSTITUTE(SUBSTITUTE(SUBSTITUTE(SUBSTITUTE(H97,"(",""),")",""),"-","")," ",""),"Abrir"))</f>
        <v/>
      </c>
      <c r="J97" s="3"/>
      <c r="K97" s="5"/>
      <c r="L97" s="5"/>
      <c r="M97" s="6"/>
      <c r="N97" s="4" t="str">
        <f aca="false">IF(M97="","",WORKDAY(M97,3))</f>
        <v/>
      </c>
      <c r="O97" s="4" t="str">
        <f aca="false">IF(M97="","",WORKDAY(M97,7))</f>
        <v/>
      </c>
      <c r="P97" s="4" t="str">
        <f aca="false">IF(M97="","",WORKDAY(M97,30))</f>
        <v/>
      </c>
      <c r="Q97" s="4" t="str">
        <f aca="true">IF(M97="","",IF(OR(T97="Sim",COUNTIF({"FECHADO";"Perdido";"Descartado"},L97)&gt;0),"",IF(TODAY()&lt;N97,N97,IF(TODAY()&lt;O97,O97,IF(TODAY()&lt;=P97,P97,"")))))</f>
        <v/>
      </c>
      <c r="R97" s="3" t="str">
        <f aca="true">IF(C97="","",IF(COUNTIF({"FECHADO";"Perdido";"Descartado"},L97)&gt;0,"-",IF(M97="","INICIAR",IF(T97="Sim","RESPONDEU",IF(Q97="","ESGOTADO",IF(Q97&lt;TODAY(),"ATRASADO",IF(Q97=TODAY(),"HOJE","No prazo")))))))</f>
        <v/>
      </c>
      <c r="S97" s="3" t="str">
        <f aca="true">IF(M97="","",TODAY()-M97)</f>
        <v/>
      </c>
      <c r="T97" s="7"/>
      <c r="U97" s="8"/>
      <c r="V97" s="8"/>
      <c r="W97" s="8"/>
      <c r="X97" s="4"/>
      <c r="Y97" s="5"/>
    </row>
    <row r="98" customFormat="false" ht="15" hidden="false" customHeight="false" outlineLevel="0" collapsed="false">
      <c r="A98" s="9"/>
      <c r="B98" s="10"/>
      <c r="C98" s="5"/>
      <c r="D98" s="5"/>
      <c r="E98" s="5"/>
      <c r="F98" s="5"/>
      <c r="G98" s="5"/>
      <c r="H98" s="5"/>
      <c r="I98" s="9" t="str">
        <f aca="false">IF(H98="","",HYPERLINK("https://wa.me/55"&amp;SUBSTITUTE(SUBSTITUTE(SUBSTITUTE(SUBSTITUTE(H98,"(",""),")",""),"-","")," ",""),"Abrir"))</f>
        <v/>
      </c>
      <c r="J98" s="9"/>
      <c r="K98" s="5"/>
      <c r="L98" s="5"/>
      <c r="M98" s="6"/>
      <c r="N98" s="10" t="str">
        <f aca="false">IF(M98="","",WORKDAY(M98,3))</f>
        <v/>
      </c>
      <c r="O98" s="10" t="str">
        <f aca="false">IF(M98="","",WORKDAY(M98,7))</f>
        <v/>
      </c>
      <c r="P98" s="10" t="str">
        <f aca="false">IF(M98="","",WORKDAY(M98,30))</f>
        <v/>
      </c>
      <c r="Q98" s="10" t="str">
        <f aca="true">IF(M98="","",IF(OR(T98="Sim",COUNTIF({"FECHADO";"Perdido";"Descartado"},L98)&gt;0),"",IF(TODAY()&lt;N98,N98,IF(TODAY()&lt;O98,O98,IF(TODAY()&lt;=P98,P98,"")))))</f>
        <v/>
      </c>
      <c r="R98" s="9" t="str">
        <f aca="true">IF(C98="","",IF(COUNTIF({"FECHADO";"Perdido";"Descartado"},L98)&gt;0,"-",IF(M98="","INICIAR",IF(T98="Sim","RESPONDEU",IF(Q98="","ESGOTADO",IF(Q98&lt;TODAY(),"ATRASADO",IF(Q98=TODAY(),"HOJE","No prazo")))))))</f>
        <v/>
      </c>
      <c r="S98" s="9" t="str">
        <f aca="true">IF(M98="","",TODAY()-M98)</f>
        <v/>
      </c>
      <c r="T98" s="7"/>
      <c r="U98" s="11"/>
      <c r="V98" s="11"/>
      <c r="W98" s="11"/>
      <c r="X98" s="10"/>
      <c r="Y98" s="5"/>
    </row>
    <row r="99" customFormat="false" ht="15" hidden="false" customHeight="false" outlineLevel="0" collapsed="false">
      <c r="A99" s="3"/>
      <c r="B99" s="4"/>
      <c r="C99" s="5"/>
      <c r="D99" s="5"/>
      <c r="E99" s="5"/>
      <c r="F99" s="5"/>
      <c r="G99" s="5"/>
      <c r="H99" s="5"/>
      <c r="I99" s="3" t="str">
        <f aca="false">IF(H99="","",HYPERLINK("https://wa.me/55"&amp;SUBSTITUTE(SUBSTITUTE(SUBSTITUTE(SUBSTITUTE(H99,"(",""),")",""),"-","")," ",""),"Abrir"))</f>
        <v/>
      </c>
      <c r="J99" s="3"/>
      <c r="K99" s="5"/>
      <c r="L99" s="5"/>
      <c r="M99" s="6"/>
      <c r="N99" s="4" t="str">
        <f aca="false">IF(M99="","",WORKDAY(M99,3))</f>
        <v/>
      </c>
      <c r="O99" s="4" t="str">
        <f aca="false">IF(M99="","",WORKDAY(M99,7))</f>
        <v/>
      </c>
      <c r="P99" s="4" t="str">
        <f aca="false">IF(M99="","",WORKDAY(M99,30))</f>
        <v/>
      </c>
      <c r="Q99" s="4" t="str">
        <f aca="true">IF(M99="","",IF(OR(T99="Sim",COUNTIF({"FECHADO";"Perdido";"Descartado"},L99)&gt;0),"",IF(TODAY()&lt;N99,N99,IF(TODAY()&lt;O99,O99,IF(TODAY()&lt;=P99,P99,"")))))</f>
        <v/>
      </c>
      <c r="R99" s="3" t="str">
        <f aca="true">IF(C99="","",IF(COUNTIF({"FECHADO";"Perdido";"Descartado"},L99)&gt;0,"-",IF(M99="","INICIAR",IF(T99="Sim","RESPONDEU",IF(Q99="","ESGOTADO",IF(Q99&lt;TODAY(),"ATRASADO",IF(Q99=TODAY(),"HOJE","No prazo")))))))</f>
        <v/>
      </c>
      <c r="S99" s="3" t="str">
        <f aca="true">IF(M99="","",TODAY()-M99)</f>
        <v/>
      </c>
      <c r="T99" s="7"/>
      <c r="U99" s="8"/>
      <c r="V99" s="8"/>
      <c r="W99" s="8"/>
      <c r="X99" s="4"/>
      <c r="Y99" s="5"/>
    </row>
    <row r="100" customFormat="false" ht="15" hidden="false" customHeight="false" outlineLevel="0" collapsed="false">
      <c r="A100" s="9"/>
      <c r="B100" s="10"/>
      <c r="C100" s="5"/>
      <c r="D100" s="5"/>
      <c r="E100" s="5"/>
      <c r="F100" s="5"/>
      <c r="G100" s="5"/>
      <c r="H100" s="5"/>
      <c r="I100" s="9" t="str">
        <f aca="false">IF(H100="","",HYPERLINK("https://wa.me/55"&amp;SUBSTITUTE(SUBSTITUTE(SUBSTITUTE(SUBSTITUTE(H100,"(",""),")",""),"-","")," ",""),"Abrir"))</f>
        <v/>
      </c>
      <c r="J100" s="9"/>
      <c r="K100" s="5"/>
      <c r="L100" s="5"/>
      <c r="M100" s="6"/>
      <c r="N100" s="10" t="str">
        <f aca="false">IF(M100="","",WORKDAY(M100,3))</f>
        <v/>
      </c>
      <c r="O100" s="10" t="str">
        <f aca="false">IF(M100="","",WORKDAY(M100,7))</f>
        <v/>
      </c>
      <c r="P100" s="10" t="str">
        <f aca="false">IF(M100="","",WORKDAY(M100,30))</f>
        <v/>
      </c>
      <c r="Q100" s="10" t="str">
        <f aca="true">IF(M100="","",IF(OR(T100="Sim",COUNTIF({"FECHADO";"Perdido";"Descartado"},L100)&gt;0),"",IF(TODAY()&lt;N100,N100,IF(TODAY()&lt;O100,O100,IF(TODAY()&lt;=P100,P100,"")))))</f>
        <v/>
      </c>
      <c r="R100" s="9" t="str">
        <f aca="true">IF(C100="","",IF(COUNTIF({"FECHADO";"Perdido";"Descartado"},L100)&gt;0,"-",IF(M100="","INICIAR",IF(T100="Sim","RESPONDEU",IF(Q100="","ESGOTADO",IF(Q100&lt;TODAY(),"ATRASADO",IF(Q100=TODAY(),"HOJE","No prazo")))))))</f>
        <v/>
      </c>
      <c r="S100" s="9" t="str">
        <f aca="true">IF(M100="","",TODAY()-M100)</f>
        <v/>
      </c>
      <c r="T100" s="7"/>
      <c r="U100" s="11"/>
      <c r="V100" s="11"/>
      <c r="W100" s="11"/>
      <c r="X100" s="10"/>
      <c r="Y100" s="5"/>
    </row>
    <row r="101" customFormat="false" ht="15" hidden="false" customHeight="false" outlineLevel="0" collapsed="false">
      <c r="A101" s="3"/>
      <c r="B101" s="4"/>
      <c r="C101" s="5"/>
      <c r="D101" s="5"/>
      <c r="E101" s="5"/>
      <c r="F101" s="5"/>
      <c r="G101" s="5"/>
      <c r="H101" s="5"/>
      <c r="I101" s="3" t="str">
        <f aca="false">IF(H101="","",HYPERLINK("https://wa.me/55"&amp;SUBSTITUTE(SUBSTITUTE(SUBSTITUTE(SUBSTITUTE(H101,"(",""),")",""),"-","")," ",""),"Abrir"))</f>
        <v/>
      </c>
      <c r="J101" s="3"/>
      <c r="K101" s="5"/>
      <c r="L101" s="5"/>
      <c r="M101" s="6"/>
      <c r="N101" s="4" t="str">
        <f aca="false">IF(M101="","",WORKDAY(M101,3))</f>
        <v/>
      </c>
      <c r="O101" s="4" t="str">
        <f aca="false">IF(M101="","",WORKDAY(M101,7))</f>
        <v/>
      </c>
      <c r="P101" s="4" t="str">
        <f aca="false">IF(M101="","",WORKDAY(M101,30))</f>
        <v/>
      </c>
      <c r="Q101" s="4" t="str">
        <f aca="true">IF(M101="","",IF(OR(T101="Sim",COUNTIF({"FECHADO";"Perdido";"Descartado"},L101)&gt;0),"",IF(TODAY()&lt;N101,N101,IF(TODAY()&lt;O101,O101,IF(TODAY()&lt;=P101,P101,"")))))</f>
        <v/>
      </c>
      <c r="R101" s="3" t="str">
        <f aca="true">IF(C101="","",IF(COUNTIF({"FECHADO";"Perdido";"Descartado"},L101)&gt;0,"-",IF(M101="","INICIAR",IF(T101="Sim","RESPONDEU",IF(Q101="","ESGOTADO",IF(Q101&lt;TODAY(),"ATRASADO",IF(Q101=TODAY(),"HOJE","No prazo")))))))</f>
        <v/>
      </c>
      <c r="S101" s="3" t="str">
        <f aca="true">IF(M101="","",TODAY()-M101)</f>
        <v/>
      </c>
      <c r="T101" s="7"/>
      <c r="U101" s="8"/>
      <c r="V101" s="8"/>
      <c r="W101" s="8"/>
      <c r="X101" s="4"/>
      <c r="Y101" s="5"/>
    </row>
    <row r="102" customFormat="false" ht="15" hidden="false" customHeight="false" outlineLevel="0" collapsed="false">
      <c r="A102" s="9"/>
      <c r="B102" s="10"/>
      <c r="C102" s="5"/>
      <c r="D102" s="5"/>
      <c r="E102" s="5"/>
      <c r="F102" s="5"/>
      <c r="G102" s="5"/>
      <c r="H102" s="5"/>
      <c r="I102" s="9" t="str">
        <f aca="false">IF(H102="","",HYPERLINK("https://wa.me/55"&amp;SUBSTITUTE(SUBSTITUTE(SUBSTITUTE(SUBSTITUTE(H102,"(",""),")",""),"-","")," ",""),"Abrir"))</f>
        <v/>
      </c>
      <c r="J102" s="9"/>
      <c r="K102" s="5"/>
      <c r="L102" s="5"/>
      <c r="M102" s="6"/>
      <c r="N102" s="10" t="str">
        <f aca="false">IF(M102="","",WORKDAY(M102,3))</f>
        <v/>
      </c>
      <c r="O102" s="10" t="str">
        <f aca="false">IF(M102="","",WORKDAY(M102,7))</f>
        <v/>
      </c>
      <c r="P102" s="10" t="str">
        <f aca="false">IF(M102="","",WORKDAY(M102,30))</f>
        <v/>
      </c>
      <c r="Q102" s="10" t="str">
        <f aca="true">IF(M102="","",IF(OR(T102="Sim",COUNTIF({"FECHADO";"Perdido";"Descartado"},L102)&gt;0),"",IF(TODAY()&lt;N102,N102,IF(TODAY()&lt;O102,O102,IF(TODAY()&lt;=P102,P102,"")))))</f>
        <v/>
      </c>
      <c r="R102" s="9" t="str">
        <f aca="true">IF(C102="","",IF(COUNTIF({"FECHADO";"Perdido";"Descartado"},L102)&gt;0,"-",IF(M102="","INICIAR",IF(T102="Sim","RESPONDEU",IF(Q102="","ESGOTADO",IF(Q102&lt;TODAY(),"ATRASADO",IF(Q102=TODAY(),"HOJE","No prazo")))))))</f>
        <v/>
      </c>
      <c r="S102" s="9" t="str">
        <f aca="true">IF(M102="","",TODAY()-M102)</f>
        <v/>
      </c>
      <c r="T102" s="7"/>
      <c r="U102" s="11"/>
      <c r="V102" s="11"/>
      <c r="W102" s="11"/>
      <c r="X102" s="10"/>
      <c r="Y102" s="5"/>
    </row>
    <row r="103" customFormat="false" ht="15" hidden="false" customHeight="false" outlineLevel="0" collapsed="false">
      <c r="A103" s="3"/>
      <c r="B103" s="4"/>
      <c r="C103" s="5"/>
      <c r="D103" s="5"/>
      <c r="E103" s="5"/>
      <c r="F103" s="5"/>
      <c r="G103" s="5"/>
      <c r="H103" s="5"/>
      <c r="I103" s="3" t="str">
        <f aca="false">IF(H103="","",HYPERLINK("https://wa.me/55"&amp;SUBSTITUTE(SUBSTITUTE(SUBSTITUTE(SUBSTITUTE(H103,"(",""),")",""),"-","")," ",""),"Abrir"))</f>
        <v/>
      </c>
      <c r="J103" s="3"/>
      <c r="K103" s="5"/>
      <c r="L103" s="5"/>
      <c r="M103" s="6"/>
      <c r="N103" s="4" t="str">
        <f aca="false">IF(M103="","",WORKDAY(M103,3))</f>
        <v/>
      </c>
      <c r="O103" s="4" t="str">
        <f aca="false">IF(M103="","",WORKDAY(M103,7))</f>
        <v/>
      </c>
      <c r="P103" s="4" t="str">
        <f aca="false">IF(M103="","",WORKDAY(M103,30))</f>
        <v/>
      </c>
      <c r="Q103" s="4" t="str">
        <f aca="true">IF(M103="","",IF(OR(T103="Sim",COUNTIF({"FECHADO";"Perdido";"Descartado"},L103)&gt;0),"",IF(TODAY()&lt;N103,N103,IF(TODAY()&lt;O103,O103,IF(TODAY()&lt;=P103,P103,"")))))</f>
        <v/>
      </c>
      <c r="R103" s="3" t="str">
        <f aca="true">IF(C103="","",IF(COUNTIF({"FECHADO";"Perdido";"Descartado"},L103)&gt;0,"-",IF(M103="","INICIAR",IF(T103="Sim","RESPONDEU",IF(Q103="","ESGOTADO",IF(Q103&lt;TODAY(),"ATRASADO",IF(Q103=TODAY(),"HOJE","No prazo")))))))</f>
        <v/>
      </c>
      <c r="S103" s="3" t="str">
        <f aca="true">IF(M103="","",TODAY()-M103)</f>
        <v/>
      </c>
      <c r="T103" s="7"/>
      <c r="U103" s="8"/>
      <c r="V103" s="8"/>
      <c r="W103" s="8"/>
      <c r="X103" s="4"/>
      <c r="Y103" s="5"/>
    </row>
    <row r="104" customFormat="false" ht="15" hidden="false" customHeight="false" outlineLevel="0" collapsed="false">
      <c r="A104" s="9"/>
      <c r="B104" s="10"/>
      <c r="C104" s="5"/>
      <c r="D104" s="5"/>
      <c r="E104" s="5"/>
      <c r="F104" s="5"/>
      <c r="G104" s="5"/>
      <c r="H104" s="5"/>
      <c r="I104" s="9" t="str">
        <f aca="false">IF(H104="","",HYPERLINK("https://wa.me/55"&amp;SUBSTITUTE(SUBSTITUTE(SUBSTITUTE(SUBSTITUTE(H104,"(",""),")",""),"-","")," ",""),"Abrir"))</f>
        <v/>
      </c>
      <c r="J104" s="9"/>
      <c r="K104" s="5"/>
      <c r="L104" s="5"/>
      <c r="M104" s="6"/>
      <c r="N104" s="10" t="str">
        <f aca="false">IF(M104="","",WORKDAY(M104,3))</f>
        <v/>
      </c>
      <c r="O104" s="10" t="str">
        <f aca="false">IF(M104="","",WORKDAY(M104,7))</f>
        <v/>
      </c>
      <c r="P104" s="10" t="str">
        <f aca="false">IF(M104="","",WORKDAY(M104,30))</f>
        <v/>
      </c>
      <c r="Q104" s="10" t="str">
        <f aca="true">IF(M104="","",IF(OR(T104="Sim",COUNTIF({"FECHADO";"Perdido";"Descartado"},L104)&gt;0),"",IF(TODAY()&lt;N104,N104,IF(TODAY()&lt;O104,O104,IF(TODAY()&lt;=P104,P104,"")))))</f>
        <v/>
      </c>
      <c r="R104" s="9" t="str">
        <f aca="true">IF(C104="","",IF(COUNTIF({"FECHADO";"Perdido";"Descartado"},L104)&gt;0,"-",IF(M104="","INICIAR",IF(T104="Sim","RESPONDEU",IF(Q104="","ESGOTADO",IF(Q104&lt;TODAY(),"ATRASADO",IF(Q104=TODAY(),"HOJE","No prazo")))))))</f>
        <v/>
      </c>
      <c r="S104" s="9" t="str">
        <f aca="true">IF(M104="","",TODAY()-M104)</f>
        <v/>
      </c>
      <c r="T104" s="7"/>
      <c r="U104" s="11"/>
      <c r="V104" s="11"/>
      <c r="W104" s="11"/>
      <c r="X104" s="10"/>
      <c r="Y104" s="5"/>
    </row>
    <row r="105" customFormat="false" ht="15" hidden="false" customHeight="false" outlineLevel="0" collapsed="false">
      <c r="A105" s="3"/>
      <c r="B105" s="4"/>
      <c r="C105" s="5"/>
      <c r="D105" s="5"/>
      <c r="E105" s="5"/>
      <c r="F105" s="5"/>
      <c r="G105" s="5"/>
      <c r="H105" s="5"/>
      <c r="I105" s="3" t="str">
        <f aca="false">IF(H105="","",HYPERLINK("https://wa.me/55"&amp;SUBSTITUTE(SUBSTITUTE(SUBSTITUTE(SUBSTITUTE(H105,"(",""),")",""),"-","")," ",""),"Abrir"))</f>
        <v/>
      </c>
      <c r="J105" s="3"/>
      <c r="K105" s="5"/>
      <c r="L105" s="5"/>
      <c r="M105" s="6"/>
      <c r="N105" s="4" t="str">
        <f aca="false">IF(M105="","",WORKDAY(M105,3))</f>
        <v/>
      </c>
      <c r="O105" s="4" t="str">
        <f aca="false">IF(M105="","",WORKDAY(M105,7))</f>
        <v/>
      </c>
      <c r="P105" s="4" t="str">
        <f aca="false">IF(M105="","",WORKDAY(M105,30))</f>
        <v/>
      </c>
      <c r="Q105" s="4" t="str">
        <f aca="true">IF(M105="","",IF(OR(T105="Sim",COUNTIF({"FECHADO";"Perdido";"Descartado"},L105)&gt;0),"",IF(TODAY()&lt;N105,N105,IF(TODAY()&lt;O105,O105,IF(TODAY()&lt;=P105,P105,"")))))</f>
        <v/>
      </c>
      <c r="R105" s="3" t="str">
        <f aca="true">IF(C105="","",IF(COUNTIF({"FECHADO";"Perdido";"Descartado"},L105)&gt;0,"-",IF(M105="","INICIAR",IF(T105="Sim","RESPONDEU",IF(Q105="","ESGOTADO",IF(Q105&lt;TODAY(),"ATRASADO",IF(Q105=TODAY(),"HOJE","No prazo")))))))</f>
        <v/>
      </c>
      <c r="S105" s="3" t="str">
        <f aca="true">IF(M105="","",TODAY()-M105)</f>
        <v/>
      </c>
      <c r="T105" s="7"/>
      <c r="U105" s="8"/>
      <c r="V105" s="8"/>
      <c r="W105" s="8"/>
      <c r="X105" s="4"/>
      <c r="Y105" s="5"/>
    </row>
    <row r="106" customFormat="false" ht="15" hidden="false" customHeight="false" outlineLevel="0" collapsed="false">
      <c r="A106" s="9"/>
      <c r="B106" s="10"/>
      <c r="C106" s="5"/>
      <c r="D106" s="5"/>
      <c r="E106" s="5"/>
      <c r="F106" s="5"/>
      <c r="G106" s="5"/>
      <c r="H106" s="5"/>
      <c r="I106" s="9" t="str">
        <f aca="false">IF(H106="","",HYPERLINK("https://wa.me/55"&amp;SUBSTITUTE(SUBSTITUTE(SUBSTITUTE(SUBSTITUTE(H106,"(",""),")",""),"-","")," ",""),"Abrir"))</f>
        <v/>
      </c>
      <c r="J106" s="9"/>
      <c r="K106" s="5"/>
      <c r="L106" s="5"/>
      <c r="M106" s="6"/>
      <c r="N106" s="10" t="str">
        <f aca="false">IF(M106="","",WORKDAY(M106,3))</f>
        <v/>
      </c>
      <c r="O106" s="10" t="str">
        <f aca="false">IF(M106="","",WORKDAY(M106,7))</f>
        <v/>
      </c>
      <c r="P106" s="10" t="str">
        <f aca="false">IF(M106="","",WORKDAY(M106,30))</f>
        <v/>
      </c>
      <c r="Q106" s="10" t="str">
        <f aca="true">IF(M106="","",IF(OR(T106="Sim",COUNTIF({"FECHADO";"Perdido";"Descartado"},L106)&gt;0),"",IF(TODAY()&lt;N106,N106,IF(TODAY()&lt;O106,O106,IF(TODAY()&lt;=P106,P106,"")))))</f>
        <v/>
      </c>
      <c r="R106" s="9" t="str">
        <f aca="true">IF(C106="","",IF(COUNTIF({"FECHADO";"Perdido";"Descartado"},L106)&gt;0,"-",IF(M106="","INICIAR",IF(T106="Sim","RESPONDEU",IF(Q106="","ESGOTADO",IF(Q106&lt;TODAY(),"ATRASADO",IF(Q106=TODAY(),"HOJE","No prazo")))))))</f>
        <v/>
      </c>
      <c r="S106" s="9" t="str">
        <f aca="true">IF(M106="","",TODAY()-M106)</f>
        <v/>
      </c>
      <c r="T106" s="7"/>
      <c r="U106" s="11"/>
      <c r="V106" s="11"/>
      <c r="W106" s="11"/>
      <c r="X106" s="10"/>
      <c r="Y106" s="5"/>
    </row>
    <row r="107" customFormat="false" ht="15" hidden="false" customHeight="false" outlineLevel="0" collapsed="false">
      <c r="A107" s="3"/>
      <c r="B107" s="4"/>
      <c r="C107" s="5"/>
      <c r="D107" s="5"/>
      <c r="E107" s="5"/>
      <c r="F107" s="5"/>
      <c r="G107" s="5"/>
      <c r="H107" s="5"/>
      <c r="I107" s="3" t="str">
        <f aca="false">IF(H107="","",HYPERLINK("https://wa.me/55"&amp;SUBSTITUTE(SUBSTITUTE(SUBSTITUTE(SUBSTITUTE(H107,"(",""),")",""),"-","")," ",""),"Abrir"))</f>
        <v/>
      </c>
      <c r="J107" s="3"/>
      <c r="K107" s="5"/>
      <c r="L107" s="5"/>
      <c r="M107" s="6"/>
      <c r="N107" s="4" t="str">
        <f aca="false">IF(M107="","",WORKDAY(M107,3))</f>
        <v/>
      </c>
      <c r="O107" s="4" t="str">
        <f aca="false">IF(M107="","",WORKDAY(M107,7))</f>
        <v/>
      </c>
      <c r="P107" s="4" t="str">
        <f aca="false">IF(M107="","",WORKDAY(M107,30))</f>
        <v/>
      </c>
      <c r="Q107" s="4" t="str">
        <f aca="true">IF(M107="","",IF(OR(T107="Sim",COUNTIF({"FECHADO";"Perdido";"Descartado"},L107)&gt;0),"",IF(TODAY()&lt;N107,N107,IF(TODAY()&lt;O107,O107,IF(TODAY()&lt;=P107,P107,"")))))</f>
        <v/>
      </c>
      <c r="R107" s="3" t="str">
        <f aca="true">IF(C107="","",IF(COUNTIF({"FECHADO";"Perdido";"Descartado"},L107)&gt;0,"-",IF(M107="","INICIAR",IF(T107="Sim","RESPONDEU",IF(Q107="","ESGOTADO",IF(Q107&lt;TODAY(),"ATRASADO",IF(Q107=TODAY(),"HOJE","No prazo")))))))</f>
        <v/>
      </c>
      <c r="S107" s="3" t="str">
        <f aca="true">IF(M107="","",TODAY()-M107)</f>
        <v/>
      </c>
      <c r="T107" s="7"/>
      <c r="U107" s="8"/>
      <c r="V107" s="8"/>
      <c r="W107" s="8"/>
      <c r="X107" s="4"/>
      <c r="Y107" s="5"/>
    </row>
    <row r="108" customFormat="false" ht="15" hidden="false" customHeight="false" outlineLevel="0" collapsed="false">
      <c r="A108" s="9"/>
      <c r="B108" s="10"/>
      <c r="C108" s="5"/>
      <c r="D108" s="5"/>
      <c r="E108" s="5"/>
      <c r="F108" s="5"/>
      <c r="G108" s="5"/>
      <c r="H108" s="5"/>
      <c r="I108" s="9" t="str">
        <f aca="false">IF(H108="","",HYPERLINK("https://wa.me/55"&amp;SUBSTITUTE(SUBSTITUTE(SUBSTITUTE(SUBSTITUTE(H108,"(",""),")",""),"-","")," ",""),"Abrir"))</f>
        <v/>
      </c>
      <c r="J108" s="9"/>
      <c r="K108" s="5"/>
      <c r="L108" s="5"/>
      <c r="M108" s="6"/>
      <c r="N108" s="10" t="str">
        <f aca="false">IF(M108="","",WORKDAY(M108,3))</f>
        <v/>
      </c>
      <c r="O108" s="10" t="str">
        <f aca="false">IF(M108="","",WORKDAY(M108,7))</f>
        <v/>
      </c>
      <c r="P108" s="10" t="str">
        <f aca="false">IF(M108="","",WORKDAY(M108,30))</f>
        <v/>
      </c>
      <c r="Q108" s="10" t="str">
        <f aca="true">IF(M108="","",IF(OR(T108="Sim",COUNTIF({"FECHADO";"Perdido";"Descartado"},L108)&gt;0),"",IF(TODAY()&lt;N108,N108,IF(TODAY()&lt;O108,O108,IF(TODAY()&lt;=P108,P108,"")))))</f>
        <v/>
      </c>
      <c r="R108" s="9" t="str">
        <f aca="true">IF(C108="","",IF(COUNTIF({"FECHADO";"Perdido";"Descartado"},L108)&gt;0,"-",IF(M108="","INICIAR",IF(T108="Sim","RESPONDEU",IF(Q108="","ESGOTADO",IF(Q108&lt;TODAY(),"ATRASADO",IF(Q108=TODAY(),"HOJE","No prazo")))))))</f>
        <v/>
      </c>
      <c r="S108" s="9" t="str">
        <f aca="true">IF(M108="","",TODAY()-M108)</f>
        <v/>
      </c>
      <c r="T108" s="7"/>
      <c r="U108" s="11"/>
      <c r="V108" s="11"/>
      <c r="W108" s="11"/>
      <c r="X108" s="10"/>
      <c r="Y108" s="5"/>
    </row>
    <row r="109" customFormat="false" ht="15" hidden="false" customHeight="false" outlineLevel="0" collapsed="false">
      <c r="A109" s="3"/>
      <c r="B109" s="4"/>
      <c r="C109" s="5"/>
      <c r="D109" s="5"/>
      <c r="E109" s="5"/>
      <c r="F109" s="5"/>
      <c r="G109" s="5"/>
      <c r="H109" s="5"/>
      <c r="I109" s="3" t="str">
        <f aca="false">IF(H109="","",HYPERLINK("https://wa.me/55"&amp;SUBSTITUTE(SUBSTITUTE(SUBSTITUTE(SUBSTITUTE(H109,"(",""),")",""),"-","")," ",""),"Abrir"))</f>
        <v/>
      </c>
      <c r="J109" s="3"/>
      <c r="K109" s="5"/>
      <c r="L109" s="5"/>
      <c r="M109" s="6"/>
      <c r="N109" s="4" t="str">
        <f aca="false">IF(M109="","",WORKDAY(M109,3))</f>
        <v/>
      </c>
      <c r="O109" s="4" t="str">
        <f aca="false">IF(M109="","",WORKDAY(M109,7))</f>
        <v/>
      </c>
      <c r="P109" s="4" t="str">
        <f aca="false">IF(M109="","",WORKDAY(M109,30))</f>
        <v/>
      </c>
      <c r="Q109" s="4" t="str">
        <f aca="true">IF(M109="","",IF(OR(T109="Sim",COUNTIF({"FECHADO";"Perdido";"Descartado"},L109)&gt;0),"",IF(TODAY()&lt;N109,N109,IF(TODAY()&lt;O109,O109,IF(TODAY()&lt;=P109,P109,"")))))</f>
        <v/>
      </c>
      <c r="R109" s="3" t="str">
        <f aca="true">IF(C109="","",IF(COUNTIF({"FECHADO";"Perdido";"Descartado"},L109)&gt;0,"-",IF(M109="","INICIAR",IF(T109="Sim","RESPONDEU",IF(Q109="","ESGOTADO",IF(Q109&lt;TODAY(),"ATRASADO",IF(Q109=TODAY(),"HOJE","No prazo")))))))</f>
        <v/>
      </c>
      <c r="S109" s="3" t="str">
        <f aca="true">IF(M109="","",TODAY()-M109)</f>
        <v/>
      </c>
      <c r="T109" s="7"/>
      <c r="U109" s="8"/>
      <c r="V109" s="8"/>
      <c r="W109" s="8"/>
      <c r="X109" s="4"/>
      <c r="Y109" s="5"/>
    </row>
    <row r="110" customFormat="false" ht="15" hidden="false" customHeight="false" outlineLevel="0" collapsed="false">
      <c r="A110" s="9"/>
      <c r="B110" s="10"/>
      <c r="C110" s="5"/>
      <c r="D110" s="5"/>
      <c r="E110" s="5"/>
      <c r="F110" s="5"/>
      <c r="G110" s="5"/>
      <c r="H110" s="5"/>
      <c r="I110" s="9" t="str">
        <f aca="false">IF(H110="","",HYPERLINK("https://wa.me/55"&amp;SUBSTITUTE(SUBSTITUTE(SUBSTITUTE(SUBSTITUTE(H110,"(",""),")",""),"-","")," ",""),"Abrir"))</f>
        <v/>
      </c>
      <c r="J110" s="9"/>
      <c r="K110" s="5"/>
      <c r="L110" s="5"/>
      <c r="M110" s="6"/>
      <c r="N110" s="10" t="str">
        <f aca="false">IF(M110="","",WORKDAY(M110,3))</f>
        <v/>
      </c>
      <c r="O110" s="10" t="str">
        <f aca="false">IF(M110="","",WORKDAY(M110,7))</f>
        <v/>
      </c>
      <c r="P110" s="10" t="str">
        <f aca="false">IF(M110="","",WORKDAY(M110,30))</f>
        <v/>
      </c>
      <c r="Q110" s="10" t="str">
        <f aca="true">IF(M110="","",IF(OR(T110="Sim",COUNTIF({"FECHADO";"Perdido";"Descartado"},L110)&gt;0),"",IF(TODAY()&lt;N110,N110,IF(TODAY()&lt;O110,O110,IF(TODAY()&lt;=P110,P110,"")))))</f>
        <v/>
      </c>
      <c r="R110" s="9" t="str">
        <f aca="true">IF(C110="","",IF(COUNTIF({"FECHADO";"Perdido";"Descartado"},L110)&gt;0,"-",IF(M110="","INICIAR",IF(T110="Sim","RESPONDEU",IF(Q110="","ESGOTADO",IF(Q110&lt;TODAY(),"ATRASADO",IF(Q110=TODAY(),"HOJE","No prazo")))))))</f>
        <v/>
      </c>
      <c r="S110" s="9" t="str">
        <f aca="true">IF(M110="","",TODAY()-M110)</f>
        <v/>
      </c>
      <c r="T110" s="7"/>
      <c r="U110" s="11"/>
      <c r="V110" s="11"/>
      <c r="W110" s="11"/>
      <c r="X110" s="10"/>
      <c r="Y110" s="5"/>
    </row>
    <row r="111" customFormat="false" ht="15" hidden="false" customHeight="false" outlineLevel="0" collapsed="false">
      <c r="A111" s="3"/>
      <c r="B111" s="4"/>
      <c r="C111" s="5"/>
      <c r="D111" s="5"/>
      <c r="E111" s="5"/>
      <c r="F111" s="5"/>
      <c r="G111" s="5"/>
      <c r="H111" s="5"/>
      <c r="I111" s="3" t="str">
        <f aca="false">IF(H111="","",HYPERLINK("https://wa.me/55"&amp;SUBSTITUTE(SUBSTITUTE(SUBSTITUTE(SUBSTITUTE(H111,"(",""),")",""),"-","")," ",""),"Abrir"))</f>
        <v/>
      </c>
      <c r="J111" s="3"/>
      <c r="K111" s="5"/>
      <c r="L111" s="5"/>
      <c r="M111" s="6"/>
      <c r="N111" s="4" t="str">
        <f aca="false">IF(M111="","",WORKDAY(M111,3))</f>
        <v/>
      </c>
      <c r="O111" s="4" t="str">
        <f aca="false">IF(M111="","",WORKDAY(M111,7))</f>
        <v/>
      </c>
      <c r="P111" s="4" t="str">
        <f aca="false">IF(M111="","",WORKDAY(M111,30))</f>
        <v/>
      </c>
      <c r="Q111" s="4" t="str">
        <f aca="true">IF(M111="","",IF(OR(T111="Sim",COUNTIF({"FECHADO";"Perdido";"Descartado"},L111)&gt;0),"",IF(TODAY()&lt;N111,N111,IF(TODAY()&lt;O111,O111,IF(TODAY()&lt;=P111,P111,"")))))</f>
        <v/>
      </c>
      <c r="R111" s="3" t="str">
        <f aca="true">IF(C111="","",IF(COUNTIF({"FECHADO";"Perdido";"Descartado"},L111)&gt;0,"-",IF(M111="","INICIAR",IF(T111="Sim","RESPONDEU",IF(Q111="","ESGOTADO",IF(Q111&lt;TODAY(),"ATRASADO",IF(Q111=TODAY(),"HOJE","No prazo")))))))</f>
        <v/>
      </c>
      <c r="S111" s="3" t="str">
        <f aca="true">IF(M111="","",TODAY()-M111)</f>
        <v/>
      </c>
      <c r="T111" s="7"/>
      <c r="U111" s="8"/>
      <c r="V111" s="8"/>
      <c r="W111" s="8"/>
      <c r="X111" s="4"/>
      <c r="Y111" s="5"/>
    </row>
    <row r="112" customFormat="false" ht="15" hidden="false" customHeight="false" outlineLevel="0" collapsed="false">
      <c r="A112" s="9"/>
      <c r="B112" s="10"/>
      <c r="C112" s="5"/>
      <c r="D112" s="5"/>
      <c r="E112" s="5"/>
      <c r="F112" s="5"/>
      <c r="G112" s="5"/>
      <c r="H112" s="5"/>
      <c r="I112" s="9" t="str">
        <f aca="false">IF(H112="","",HYPERLINK("https://wa.me/55"&amp;SUBSTITUTE(SUBSTITUTE(SUBSTITUTE(SUBSTITUTE(H112,"(",""),")",""),"-","")," ",""),"Abrir"))</f>
        <v/>
      </c>
      <c r="J112" s="9"/>
      <c r="K112" s="5"/>
      <c r="L112" s="5"/>
      <c r="M112" s="6"/>
      <c r="N112" s="10" t="str">
        <f aca="false">IF(M112="","",WORKDAY(M112,3))</f>
        <v/>
      </c>
      <c r="O112" s="10" t="str">
        <f aca="false">IF(M112="","",WORKDAY(M112,7))</f>
        <v/>
      </c>
      <c r="P112" s="10" t="str">
        <f aca="false">IF(M112="","",WORKDAY(M112,30))</f>
        <v/>
      </c>
      <c r="Q112" s="10" t="str">
        <f aca="true">IF(M112="","",IF(OR(T112="Sim",COUNTIF({"FECHADO";"Perdido";"Descartado"},L112)&gt;0),"",IF(TODAY()&lt;N112,N112,IF(TODAY()&lt;O112,O112,IF(TODAY()&lt;=P112,P112,"")))))</f>
        <v/>
      </c>
      <c r="R112" s="9" t="str">
        <f aca="true">IF(C112="","",IF(COUNTIF({"FECHADO";"Perdido";"Descartado"},L112)&gt;0,"-",IF(M112="","INICIAR",IF(T112="Sim","RESPONDEU",IF(Q112="","ESGOTADO",IF(Q112&lt;TODAY(),"ATRASADO",IF(Q112=TODAY(),"HOJE","No prazo")))))))</f>
        <v/>
      </c>
      <c r="S112" s="9" t="str">
        <f aca="true">IF(M112="","",TODAY()-M112)</f>
        <v/>
      </c>
      <c r="T112" s="7"/>
      <c r="U112" s="11"/>
      <c r="V112" s="11"/>
      <c r="W112" s="11"/>
      <c r="X112" s="10"/>
      <c r="Y112" s="5"/>
    </row>
    <row r="113" customFormat="false" ht="15" hidden="false" customHeight="false" outlineLevel="0" collapsed="false">
      <c r="A113" s="3"/>
      <c r="B113" s="4"/>
      <c r="C113" s="5"/>
      <c r="D113" s="5"/>
      <c r="E113" s="5"/>
      <c r="F113" s="5"/>
      <c r="G113" s="5"/>
      <c r="H113" s="5"/>
      <c r="I113" s="3" t="str">
        <f aca="false">IF(H113="","",HYPERLINK("https://wa.me/55"&amp;SUBSTITUTE(SUBSTITUTE(SUBSTITUTE(SUBSTITUTE(H113,"(",""),")",""),"-","")," ",""),"Abrir"))</f>
        <v/>
      </c>
      <c r="J113" s="3"/>
      <c r="K113" s="5"/>
      <c r="L113" s="5"/>
      <c r="M113" s="6"/>
      <c r="N113" s="4" t="str">
        <f aca="false">IF(M113="","",WORKDAY(M113,3))</f>
        <v/>
      </c>
      <c r="O113" s="4" t="str">
        <f aca="false">IF(M113="","",WORKDAY(M113,7))</f>
        <v/>
      </c>
      <c r="P113" s="4" t="str">
        <f aca="false">IF(M113="","",WORKDAY(M113,30))</f>
        <v/>
      </c>
      <c r="Q113" s="4" t="str">
        <f aca="true">IF(M113="","",IF(OR(T113="Sim",COUNTIF({"FECHADO";"Perdido";"Descartado"},L113)&gt;0),"",IF(TODAY()&lt;N113,N113,IF(TODAY()&lt;O113,O113,IF(TODAY()&lt;=P113,P113,"")))))</f>
        <v/>
      </c>
      <c r="R113" s="3" t="str">
        <f aca="true">IF(C113="","",IF(COUNTIF({"FECHADO";"Perdido";"Descartado"},L113)&gt;0,"-",IF(M113="","INICIAR",IF(T113="Sim","RESPONDEU",IF(Q113="","ESGOTADO",IF(Q113&lt;TODAY(),"ATRASADO",IF(Q113=TODAY(),"HOJE","No prazo")))))))</f>
        <v/>
      </c>
      <c r="S113" s="3" t="str">
        <f aca="true">IF(M113="","",TODAY()-M113)</f>
        <v/>
      </c>
      <c r="T113" s="7"/>
      <c r="U113" s="8"/>
      <c r="V113" s="8"/>
      <c r="W113" s="8"/>
      <c r="X113" s="4"/>
      <c r="Y113" s="5"/>
    </row>
    <row r="114" customFormat="false" ht="15" hidden="false" customHeight="false" outlineLevel="0" collapsed="false">
      <c r="A114" s="9"/>
      <c r="B114" s="10"/>
      <c r="C114" s="5"/>
      <c r="D114" s="5"/>
      <c r="E114" s="5"/>
      <c r="F114" s="5"/>
      <c r="G114" s="5"/>
      <c r="H114" s="5"/>
      <c r="I114" s="9" t="str">
        <f aca="false">IF(H114="","",HYPERLINK("https://wa.me/55"&amp;SUBSTITUTE(SUBSTITUTE(SUBSTITUTE(SUBSTITUTE(H114,"(",""),")",""),"-","")," ",""),"Abrir"))</f>
        <v/>
      </c>
      <c r="J114" s="9"/>
      <c r="K114" s="5"/>
      <c r="L114" s="5"/>
      <c r="M114" s="6"/>
      <c r="N114" s="10" t="str">
        <f aca="false">IF(M114="","",WORKDAY(M114,3))</f>
        <v/>
      </c>
      <c r="O114" s="10" t="str">
        <f aca="false">IF(M114="","",WORKDAY(M114,7))</f>
        <v/>
      </c>
      <c r="P114" s="10" t="str">
        <f aca="false">IF(M114="","",WORKDAY(M114,30))</f>
        <v/>
      </c>
      <c r="Q114" s="10" t="str">
        <f aca="true">IF(M114="","",IF(OR(T114="Sim",COUNTIF({"FECHADO";"Perdido";"Descartado"},L114)&gt;0),"",IF(TODAY()&lt;N114,N114,IF(TODAY()&lt;O114,O114,IF(TODAY()&lt;=P114,P114,"")))))</f>
        <v/>
      </c>
      <c r="R114" s="9" t="str">
        <f aca="true">IF(C114="","",IF(COUNTIF({"FECHADO";"Perdido";"Descartado"},L114)&gt;0,"-",IF(M114="","INICIAR",IF(T114="Sim","RESPONDEU",IF(Q114="","ESGOTADO",IF(Q114&lt;TODAY(),"ATRASADO",IF(Q114=TODAY(),"HOJE","No prazo")))))))</f>
        <v/>
      </c>
      <c r="S114" s="9" t="str">
        <f aca="true">IF(M114="","",TODAY()-M114)</f>
        <v/>
      </c>
      <c r="T114" s="7"/>
      <c r="U114" s="11"/>
      <c r="V114" s="11"/>
      <c r="W114" s="11"/>
      <c r="X114" s="10"/>
      <c r="Y114" s="5"/>
    </row>
    <row r="115" customFormat="false" ht="15" hidden="false" customHeight="false" outlineLevel="0" collapsed="false">
      <c r="A115" s="3"/>
      <c r="B115" s="4"/>
      <c r="C115" s="5"/>
      <c r="D115" s="5"/>
      <c r="E115" s="5"/>
      <c r="F115" s="5"/>
      <c r="G115" s="5"/>
      <c r="H115" s="5"/>
      <c r="I115" s="3" t="str">
        <f aca="false">IF(H115="","",HYPERLINK("https://wa.me/55"&amp;SUBSTITUTE(SUBSTITUTE(SUBSTITUTE(SUBSTITUTE(H115,"(",""),")",""),"-","")," ",""),"Abrir"))</f>
        <v/>
      </c>
      <c r="J115" s="3"/>
      <c r="K115" s="5"/>
      <c r="L115" s="5"/>
      <c r="M115" s="6"/>
      <c r="N115" s="4" t="str">
        <f aca="false">IF(M115="","",WORKDAY(M115,3))</f>
        <v/>
      </c>
      <c r="O115" s="4" t="str">
        <f aca="false">IF(M115="","",WORKDAY(M115,7))</f>
        <v/>
      </c>
      <c r="P115" s="4" t="str">
        <f aca="false">IF(M115="","",WORKDAY(M115,30))</f>
        <v/>
      </c>
      <c r="Q115" s="4" t="str">
        <f aca="true">IF(M115="","",IF(OR(T115="Sim",COUNTIF({"FECHADO";"Perdido";"Descartado"},L115)&gt;0),"",IF(TODAY()&lt;N115,N115,IF(TODAY()&lt;O115,O115,IF(TODAY()&lt;=P115,P115,"")))))</f>
        <v/>
      </c>
      <c r="R115" s="3" t="str">
        <f aca="true">IF(C115="","",IF(COUNTIF({"FECHADO";"Perdido";"Descartado"},L115)&gt;0,"-",IF(M115="","INICIAR",IF(T115="Sim","RESPONDEU",IF(Q115="","ESGOTADO",IF(Q115&lt;TODAY(),"ATRASADO",IF(Q115=TODAY(),"HOJE","No prazo")))))))</f>
        <v/>
      </c>
      <c r="S115" s="3" t="str">
        <f aca="true">IF(M115="","",TODAY()-M115)</f>
        <v/>
      </c>
      <c r="T115" s="7"/>
      <c r="U115" s="8"/>
      <c r="V115" s="8"/>
      <c r="W115" s="8"/>
      <c r="X115" s="4"/>
      <c r="Y115" s="5"/>
    </row>
    <row r="116" customFormat="false" ht="15" hidden="false" customHeight="false" outlineLevel="0" collapsed="false">
      <c r="A116" s="9"/>
      <c r="B116" s="10"/>
      <c r="C116" s="5"/>
      <c r="D116" s="5"/>
      <c r="E116" s="5"/>
      <c r="F116" s="5"/>
      <c r="G116" s="5"/>
      <c r="H116" s="5"/>
      <c r="I116" s="9" t="str">
        <f aca="false">IF(H116="","",HYPERLINK("https://wa.me/55"&amp;SUBSTITUTE(SUBSTITUTE(SUBSTITUTE(SUBSTITUTE(H116,"(",""),")",""),"-","")," ",""),"Abrir"))</f>
        <v/>
      </c>
      <c r="J116" s="9"/>
      <c r="K116" s="5"/>
      <c r="L116" s="5"/>
      <c r="M116" s="6"/>
      <c r="N116" s="10" t="str">
        <f aca="false">IF(M116="","",WORKDAY(M116,3))</f>
        <v/>
      </c>
      <c r="O116" s="10" t="str">
        <f aca="false">IF(M116="","",WORKDAY(M116,7))</f>
        <v/>
      </c>
      <c r="P116" s="10" t="str">
        <f aca="false">IF(M116="","",WORKDAY(M116,30))</f>
        <v/>
      </c>
      <c r="Q116" s="10" t="str">
        <f aca="true">IF(M116="","",IF(OR(T116="Sim",COUNTIF({"FECHADO";"Perdido";"Descartado"},L116)&gt;0),"",IF(TODAY()&lt;N116,N116,IF(TODAY()&lt;O116,O116,IF(TODAY()&lt;=P116,P116,"")))))</f>
        <v/>
      </c>
      <c r="R116" s="9" t="str">
        <f aca="true">IF(C116="","",IF(COUNTIF({"FECHADO";"Perdido";"Descartado"},L116)&gt;0,"-",IF(M116="","INICIAR",IF(T116="Sim","RESPONDEU",IF(Q116="","ESGOTADO",IF(Q116&lt;TODAY(),"ATRASADO",IF(Q116=TODAY(),"HOJE","No prazo")))))))</f>
        <v/>
      </c>
      <c r="S116" s="9" t="str">
        <f aca="true">IF(M116="","",TODAY()-M116)</f>
        <v/>
      </c>
      <c r="T116" s="7"/>
      <c r="U116" s="11"/>
      <c r="V116" s="11"/>
      <c r="W116" s="11"/>
      <c r="X116" s="10"/>
      <c r="Y116" s="5"/>
    </row>
    <row r="117" customFormat="false" ht="15" hidden="false" customHeight="false" outlineLevel="0" collapsed="false">
      <c r="A117" s="3"/>
      <c r="B117" s="4"/>
      <c r="C117" s="5"/>
      <c r="D117" s="5"/>
      <c r="E117" s="5"/>
      <c r="F117" s="5"/>
      <c r="G117" s="5"/>
      <c r="H117" s="5"/>
      <c r="I117" s="3" t="str">
        <f aca="false">IF(H117="","",HYPERLINK("https://wa.me/55"&amp;SUBSTITUTE(SUBSTITUTE(SUBSTITUTE(SUBSTITUTE(H117,"(",""),")",""),"-","")," ",""),"Abrir"))</f>
        <v/>
      </c>
      <c r="J117" s="3"/>
      <c r="K117" s="5"/>
      <c r="L117" s="5"/>
      <c r="M117" s="6"/>
      <c r="N117" s="4" t="str">
        <f aca="false">IF(M117="","",WORKDAY(M117,3))</f>
        <v/>
      </c>
      <c r="O117" s="4" t="str">
        <f aca="false">IF(M117="","",WORKDAY(M117,7))</f>
        <v/>
      </c>
      <c r="P117" s="4" t="str">
        <f aca="false">IF(M117="","",WORKDAY(M117,30))</f>
        <v/>
      </c>
      <c r="Q117" s="4" t="str">
        <f aca="true">IF(M117="","",IF(OR(T117="Sim",COUNTIF({"FECHADO";"Perdido";"Descartado"},L117)&gt;0),"",IF(TODAY()&lt;N117,N117,IF(TODAY()&lt;O117,O117,IF(TODAY()&lt;=P117,P117,"")))))</f>
        <v/>
      </c>
      <c r="R117" s="3" t="str">
        <f aca="true">IF(C117="","",IF(COUNTIF({"FECHADO";"Perdido";"Descartado"},L117)&gt;0,"-",IF(M117="","INICIAR",IF(T117="Sim","RESPONDEU",IF(Q117="","ESGOTADO",IF(Q117&lt;TODAY(),"ATRASADO",IF(Q117=TODAY(),"HOJE","No prazo")))))))</f>
        <v/>
      </c>
      <c r="S117" s="3" t="str">
        <f aca="true">IF(M117="","",TODAY()-M117)</f>
        <v/>
      </c>
      <c r="T117" s="7"/>
      <c r="U117" s="8"/>
      <c r="V117" s="8"/>
      <c r="W117" s="8"/>
      <c r="X117" s="4"/>
      <c r="Y117" s="5"/>
    </row>
    <row r="118" customFormat="false" ht="15" hidden="false" customHeight="false" outlineLevel="0" collapsed="false">
      <c r="A118" s="9"/>
      <c r="B118" s="10"/>
      <c r="C118" s="5"/>
      <c r="D118" s="5"/>
      <c r="E118" s="5"/>
      <c r="F118" s="5"/>
      <c r="G118" s="5"/>
      <c r="H118" s="5"/>
      <c r="I118" s="9" t="str">
        <f aca="false">IF(H118="","",HYPERLINK("https://wa.me/55"&amp;SUBSTITUTE(SUBSTITUTE(SUBSTITUTE(SUBSTITUTE(H118,"(",""),")",""),"-","")," ",""),"Abrir"))</f>
        <v/>
      </c>
      <c r="J118" s="9"/>
      <c r="K118" s="5"/>
      <c r="L118" s="5"/>
      <c r="M118" s="6"/>
      <c r="N118" s="10" t="str">
        <f aca="false">IF(M118="","",WORKDAY(M118,3))</f>
        <v/>
      </c>
      <c r="O118" s="10" t="str">
        <f aca="false">IF(M118="","",WORKDAY(M118,7))</f>
        <v/>
      </c>
      <c r="P118" s="10" t="str">
        <f aca="false">IF(M118="","",WORKDAY(M118,30))</f>
        <v/>
      </c>
      <c r="Q118" s="10" t="str">
        <f aca="true">IF(M118="","",IF(OR(T118="Sim",COUNTIF({"FECHADO";"Perdido";"Descartado"},L118)&gt;0),"",IF(TODAY()&lt;N118,N118,IF(TODAY()&lt;O118,O118,IF(TODAY()&lt;=P118,P118,"")))))</f>
        <v/>
      </c>
      <c r="R118" s="9" t="str">
        <f aca="true">IF(C118="","",IF(COUNTIF({"FECHADO";"Perdido";"Descartado"},L118)&gt;0,"-",IF(M118="","INICIAR",IF(T118="Sim","RESPONDEU",IF(Q118="","ESGOTADO",IF(Q118&lt;TODAY(),"ATRASADO",IF(Q118=TODAY(),"HOJE","No prazo")))))))</f>
        <v/>
      </c>
      <c r="S118" s="9" t="str">
        <f aca="true">IF(M118="","",TODAY()-M118)</f>
        <v/>
      </c>
      <c r="T118" s="7"/>
      <c r="U118" s="11"/>
      <c r="V118" s="11"/>
      <c r="W118" s="11"/>
      <c r="X118" s="10"/>
      <c r="Y118" s="5"/>
    </row>
    <row r="119" customFormat="false" ht="15" hidden="false" customHeight="false" outlineLevel="0" collapsed="false">
      <c r="A119" s="3"/>
      <c r="B119" s="4"/>
      <c r="C119" s="5"/>
      <c r="D119" s="5"/>
      <c r="E119" s="5"/>
      <c r="F119" s="5"/>
      <c r="G119" s="5"/>
      <c r="H119" s="5"/>
      <c r="I119" s="3" t="str">
        <f aca="false">IF(H119="","",HYPERLINK("https://wa.me/55"&amp;SUBSTITUTE(SUBSTITUTE(SUBSTITUTE(SUBSTITUTE(H119,"(",""),")",""),"-","")," ",""),"Abrir"))</f>
        <v/>
      </c>
      <c r="J119" s="3"/>
      <c r="K119" s="5"/>
      <c r="L119" s="5"/>
      <c r="M119" s="6"/>
      <c r="N119" s="4" t="str">
        <f aca="false">IF(M119="","",WORKDAY(M119,3))</f>
        <v/>
      </c>
      <c r="O119" s="4" t="str">
        <f aca="false">IF(M119="","",WORKDAY(M119,7))</f>
        <v/>
      </c>
      <c r="P119" s="4" t="str">
        <f aca="false">IF(M119="","",WORKDAY(M119,30))</f>
        <v/>
      </c>
      <c r="Q119" s="4" t="str">
        <f aca="true">IF(M119="","",IF(OR(T119="Sim",COUNTIF({"FECHADO";"Perdido";"Descartado"},L119)&gt;0),"",IF(TODAY()&lt;N119,N119,IF(TODAY()&lt;O119,O119,IF(TODAY()&lt;=P119,P119,"")))))</f>
        <v/>
      </c>
      <c r="R119" s="3" t="str">
        <f aca="true">IF(C119="","",IF(COUNTIF({"FECHADO";"Perdido";"Descartado"},L119)&gt;0,"-",IF(M119="","INICIAR",IF(T119="Sim","RESPONDEU",IF(Q119="","ESGOTADO",IF(Q119&lt;TODAY(),"ATRASADO",IF(Q119=TODAY(),"HOJE","No prazo")))))))</f>
        <v/>
      </c>
      <c r="S119" s="3" t="str">
        <f aca="true">IF(M119="","",TODAY()-M119)</f>
        <v/>
      </c>
      <c r="T119" s="7"/>
      <c r="U119" s="8"/>
      <c r="V119" s="8"/>
      <c r="W119" s="8"/>
      <c r="X119" s="4"/>
      <c r="Y119" s="5"/>
    </row>
    <row r="120" customFormat="false" ht="15" hidden="false" customHeight="false" outlineLevel="0" collapsed="false">
      <c r="A120" s="9"/>
      <c r="B120" s="10"/>
      <c r="C120" s="5"/>
      <c r="D120" s="5"/>
      <c r="E120" s="5"/>
      <c r="F120" s="5"/>
      <c r="G120" s="5"/>
      <c r="H120" s="5"/>
      <c r="I120" s="9" t="str">
        <f aca="false">IF(H120="","",HYPERLINK("https://wa.me/55"&amp;SUBSTITUTE(SUBSTITUTE(SUBSTITUTE(SUBSTITUTE(H120,"(",""),")",""),"-","")," ",""),"Abrir"))</f>
        <v/>
      </c>
      <c r="J120" s="9"/>
      <c r="K120" s="5"/>
      <c r="L120" s="5"/>
      <c r="M120" s="6"/>
      <c r="N120" s="10" t="str">
        <f aca="false">IF(M120="","",WORKDAY(M120,3))</f>
        <v/>
      </c>
      <c r="O120" s="10" t="str">
        <f aca="false">IF(M120="","",WORKDAY(M120,7))</f>
        <v/>
      </c>
      <c r="P120" s="10" t="str">
        <f aca="false">IF(M120="","",WORKDAY(M120,30))</f>
        <v/>
      </c>
      <c r="Q120" s="10" t="str">
        <f aca="true">IF(M120="","",IF(OR(T120="Sim",COUNTIF({"FECHADO";"Perdido";"Descartado"},L120)&gt;0),"",IF(TODAY()&lt;N120,N120,IF(TODAY()&lt;O120,O120,IF(TODAY()&lt;=P120,P120,"")))))</f>
        <v/>
      </c>
      <c r="R120" s="9" t="str">
        <f aca="true">IF(C120="","",IF(COUNTIF({"FECHADO";"Perdido";"Descartado"},L120)&gt;0,"-",IF(M120="","INICIAR",IF(T120="Sim","RESPONDEU",IF(Q120="","ESGOTADO",IF(Q120&lt;TODAY(),"ATRASADO",IF(Q120=TODAY(),"HOJE","No prazo")))))))</f>
        <v/>
      </c>
      <c r="S120" s="9" t="str">
        <f aca="true">IF(M120="","",TODAY()-M120)</f>
        <v/>
      </c>
      <c r="T120" s="7"/>
      <c r="U120" s="11"/>
      <c r="V120" s="11"/>
      <c r="W120" s="11"/>
      <c r="X120" s="10"/>
      <c r="Y120" s="5"/>
    </row>
    <row r="121" customFormat="false" ht="15" hidden="false" customHeight="false" outlineLevel="0" collapsed="false">
      <c r="A121" s="3"/>
      <c r="B121" s="4"/>
      <c r="C121" s="5"/>
      <c r="D121" s="5"/>
      <c r="E121" s="5"/>
      <c r="F121" s="5"/>
      <c r="G121" s="5"/>
      <c r="H121" s="5"/>
      <c r="I121" s="3" t="str">
        <f aca="false">IF(H121="","",HYPERLINK("https://wa.me/55"&amp;SUBSTITUTE(SUBSTITUTE(SUBSTITUTE(SUBSTITUTE(H121,"(",""),")",""),"-","")," ",""),"Abrir"))</f>
        <v/>
      </c>
      <c r="J121" s="3"/>
      <c r="K121" s="5"/>
      <c r="L121" s="5"/>
      <c r="M121" s="6"/>
      <c r="N121" s="4" t="str">
        <f aca="false">IF(M121="","",WORKDAY(M121,3))</f>
        <v/>
      </c>
      <c r="O121" s="4" t="str">
        <f aca="false">IF(M121="","",WORKDAY(M121,7))</f>
        <v/>
      </c>
      <c r="P121" s="4" t="str">
        <f aca="false">IF(M121="","",WORKDAY(M121,30))</f>
        <v/>
      </c>
      <c r="Q121" s="4" t="str">
        <f aca="true">IF(M121="","",IF(OR(T121="Sim",COUNTIF({"FECHADO";"Perdido";"Descartado"},L121)&gt;0),"",IF(TODAY()&lt;N121,N121,IF(TODAY()&lt;O121,O121,IF(TODAY()&lt;=P121,P121,"")))))</f>
        <v/>
      </c>
      <c r="R121" s="3" t="str">
        <f aca="true">IF(C121="","",IF(COUNTIF({"FECHADO";"Perdido";"Descartado"},L121)&gt;0,"-",IF(M121="","INICIAR",IF(T121="Sim","RESPONDEU",IF(Q121="","ESGOTADO",IF(Q121&lt;TODAY(),"ATRASADO",IF(Q121=TODAY(),"HOJE","No prazo")))))))</f>
        <v/>
      </c>
      <c r="S121" s="3" t="str">
        <f aca="true">IF(M121="","",TODAY()-M121)</f>
        <v/>
      </c>
      <c r="T121" s="7"/>
      <c r="U121" s="8"/>
      <c r="V121" s="8"/>
      <c r="W121" s="8"/>
      <c r="X121" s="4"/>
      <c r="Y121" s="5"/>
    </row>
    <row r="122" customFormat="false" ht="15" hidden="false" customHeight="false" outlineLevel="0" collapsed="false">
      <c r="A122" s="9"/>
      <c r="B122" s="10"/>
      <c r="C122" s="5"/>
      <c r="D122" s="5"/>
      <c r="E122" s="5"/>
      <c r="F122" s="5"/>
      <c r="G122" s="5"/>
      <c r="H122" s="5"/>
      <c r="I122" s="9" t="str">
        <f aca="false">IF(H122="","",HYPERLINK("https://wa.me/55"&amp;SUBSTITUTE(SUBSTITUTE(SUBSTITUTE(SUBSTITUTE(H122,"(",""),")",""),"-","")," ",""),"Abrir"))</f>
        <v/>
      </c>
      <c r="J122" s="9"/>
      <c r="K122" s="5"/>
      <c r="L122" s="5"/>
      <c r="M122" s="6"/>
      <c r="N122" s="10" t="str">
        <f aca="false">IF(M122="","",WORKDAY(M122,3))</f>
        <v/>
      </c>
      <c r="O122" s="10" t="str">
        <f aca="false">IF(M122="","",WORKDAY(M122,7))</f>
        <v/>
      </c>
      <c r="P122" s="10" t="str">
        <f aca="false">IF(M122="","",WORKDAY(M122,30))</f>
        <v/>
      </c>
      <c r="Q122" s="10" t="str">
        <f aca="true">IF(M122="","",IF(OR(T122="Sim",COUNTIF({"FECHADO";"Perdido";"Descartado"},L122)&gt;0),"",IF(TODAY()&lt;N122,N122,IF(TODAY()&lt;O122,O122,IF(TODAY()&lt;=P122,P122,"")))))</f>
        <v/>
      </c>
      <c r="R122" s="9" t="str">
        <f aca="true">IF(C122="","",IF(COUNTIF({"FECHADO";"Perdido";"Descartado"},L122)&gt;0,"-",IF(M122="","INICIAR",IF(T122="Sim","RESPONDEU",IF(Q122="","ESGOTADO",IF(Q122&lt;TODAY(),"ATRASADO",IF(Q122=TODAY(),"HOJE","No prazo")))))))</f>
        <v/>
      </c>
      <c r="S122" s="9" t="str">
        <f aca="true">IF(M122="","",TODAY()-M122)</f>
        <v/>
      </c>
      <c r="T122" s="7"/>
      <c r="U122" s="11"/>
      <c r="V122" s="11"/>
      <c r="W122" s="11"/>
      <c r="X122" s="10"/>
      <c r="Y122" s="5"/>
    </row>
    <row r="123" customFormat="false" ht="15" hidden="false" customHeight="false" outlineLevel="0" collapsed="false">
      <c r="A123" s="3"/>
      <c r="B123" s="4"/>
      <c r="C123" s="5"/>
      <c r="D123" s="5"/>
      <c r="E123" s="5"/>
      <c r="F123" s="5"/>
      <c r="G123" s="5"/>
      <c r="H123" s="5"/>
      <c r="I123" s="3" t="str">
        <f aca="false">IF(H123="","",HYPERLINK("https://wa.me/55"&amp;SUBSTITUTE(SUBSTITUTE(SUBSTITUTE(SUBSTITUTE(H123,"(",""),")",""),"-","")," ",""),"Abrir"))</f>
        <v/>
      </c>
      <c r="J123" s="3"/>
      <c r="K123" s="5"/>
      <c r="L123" s="5"/>
      <c r="M123" s="6"/>
      <c r="N123" s="4" t="str">
        <f aca="false">IF(M123="","",WORKDAY(M123,3))</f>
        <v/>
      </c>
      <c r="O123" s="4" t="str">
        <f aca="false">IF(M123="","",WORKDAY(M123,7))</f>
        <v/>
      </c>
      <c r="P123" s="4" t="str">
        <f aca="false">IF(M123="","",WORKDAY(M123,30))</f>
        <v/>
      </c>
      <c r="Q123" s="4" t="str">
        <f aca="true">IF(M123="","",IF(OR(T123="Sim",COUNTIF({"FECHADO";"Perdido";"Descartado"},L123)&gt;0),"",IF(TODAY()&lt;N123,N123,IF(TODAY()&lt;O123,O123,IF(TODAY()&lt;=P123,P123,"")))))</f>
        <v/>
      </c>
      <c r="R123" s="3" t="str">
        <f aca="true">IF(C123="","",IF(COUNTIF({"FECHADO";"Perdido";"Descartado"},L123)&gt;0,"-",IF(M123="","INICIAR",IF(T123="Sim","RESPONDEU",IF(Q123="","ESGOTADO",IF(Q123&lt;TODAY(),"ATRASADO",IF(Q123=TODAY(),"HOJE","No prazo")))))))</f>
        <v/>
      </c>
      <c r="S123" s="3" t="str">
        <f aca="true">IF(M123="","",TODAY()-M123)</f>
        <v/>
      </c>
      <c r="T123" s="7"/>
      <c r="U123" s="8"/>
      <c r="V123" s="8"/>
      <c r="W123" s="8"/>
      <c r="X123" s="4"/>
      <c r="Y123" s="5"/>
    </row>
    <row r="124" customFormat="false" ht="15" hidden="false" customHeight="false" outlineLevel="0" collapsed="false">
      <c r="A124" s="9"/>
      <c r="B124" s="10"/>
      <c r="C124" s="5"/>
      <c r="D124" s="5"/>
      <c r="E124" s="5"/>
      <c r="F124" s="5"/>
      <c r="G124" s="5"/>
      <c r="H124" s="5"/>
      <c r="I124" s="9" t="str">
        <f aca="false">IF(H124="","",HYPERLINK("https://wa.me/55"&amp;SUBSTITUTE(SUBSTITUTE(SUBSTITUTE(SUBSTITUTE(H124,"(",""),")",""),"-","")," ",""),"Abrir"))</f>
        <v/>
      </c>
      <c r="J124" s="9"/>
      <c r="K124" s="5"/>
      <c r="L124" s="5"/>
      <c r="M124" s="6"/>
      <c r="N124" s="10" t="str">
        <f aca="false">IF(M124="","",WORKDAY(M124,3))</f>
        <v/>
      </c>
      <c r="O124" s="10" t="str">
        <f aca="false">IF(M124="","",WORKDAY(M124,7))</f>
        <v/>
      </c>
      <c r="P124" s="10" t="str">
        <f aca="false">IF(M124="","",WORKDAY(M124,30))</f>
        <v/>
      </c>
      <c r="Q124" s="10" t="str">
        <f aca="true">IF(M124="","",IF(OR(T124="Sim",COUNTIF({"FECHADO";"Perdido";"Descartado"},L124)&gt;0),"",IF(TODAY()&lt;N124,N124,IF(TODAY()&lt;O124,O124,IF(TODAY()&lt;=P124,P124,"")))))</f>
        <v/>
      </c>
      <c r="R124" s="9" t="str">
        <f aca="true">IF(C124="","",IF(COUNTIF({"FECHADO";"Perdido";"Descartado"},L124)&gt;0,"-",IF(M124="","INICIAR",IF(T124="Sim","RESPONDEU",IF(Q124="","ESGOTADO",IF(Q124&lt;TODAY(),"ATRASADO",IF(Q124=TODAY(),"HOJE","No prazo")))))))</f>
        <v/>
      </c>
      <c r="S124" s="9" t="str">
        <f aca="true">IF(M124="","",TODAY()-M124)</f>
        <v/>
      </c>
      <c r="T124" s="7"/>
      <c r="U124" s="11"/>
      <c r="V124" s="11"/>
      <c r="W124" s="11"/>
      <c r="X124" s="10"/>
      <c r="Y124" s="5"/>
    </row>
    <row r="125" customFormat="false" ht="15" hidden="false" customHeight="false" outlineLevel="0" collapsed="false">
      <c r="A125" s="3"/>
      <c r="B125" s="4"/>
      <c r="C125" s="5"/>
      <c r="D125" s="5"/>
      <c r="E125" s="5"/>
      <c r="F125" s="5"/>
      <c r="G125" s="5"/>
      <c r="H125" s="5"/>
      <c r="I125" s="3" t="str">
        <f aca="false">IF(H125="","",HYPERLINK("https://wa.me/55"&amp;SUBSTITUTE(SUBSTITUTE(SUBSTITUTE(SUBSTITUTE(H125,"(",""),")",""),"-","")," ",""),"Abrir"))</f>
        <v/>
      </c>
      <c r="J125" s="3"/>
      <c r="K125" s="5"/>
      <c r="L125" s="5"/>
      <c r="M125" s="6"/>
      <c r="N125" s="4" t="str">
        <f aca="false">IF(M125="","",WORKDAY(M125,3))</f>
        <v/>
      </c>
      <c r="O125" s="4" t="str">
        <f aca="false">IF(M125="","",WORKDAY(M125,7))</f>
        <v/>
      </c>
      <c r="P125" s="4" t="str">
        <f aca="false">IF(M125="","",WORKDAY(M125,30))</f>
        <v/>
      </c>
      <c r="Q125" s="4" t="str">
        <f aca="true">IF(M125="","",IF(OR(T125="Sim",COUNTIF({"FECHADO";"Perdido";"Descartado"},L125)&gt;0),"",IF(TODAY()&lt;N125,N125,IF(TODAY()&lt;O125,O125,IF(TODAY()&lt;=P125,P125,"")))))</f>
        <v/>
      </c>
      <c r="R125" s="3" t="str">
        <f aca="true">IF(C125="","",IF(COUNTIF({"FECHADO";"Perdido";"Descartado"},L125)&gt;0,"-",IF(M125="","INICIAR",IF(T125="Sim","RESPONDEU",IF(Q125="","ESGOTADO",IF(Q125&lt;TODAY(),"ATRASADO",IF(Q125=TODAY(),"HOJE","No prazo")))))))</f>
        <v/>
      </c>
      <c r="S125" s="3" t="str">
        <f aca="true">IF(M125="","",TODAY()-M125)</f>
        <v/>
      </c>
      <c r="T125" s="7"/>
      <c r="U125" s="8"/>
      <c r="V125" s="8"/>
      <c r="W125" s="8"/>
      <c r="X125" s="4"/>
      <c r="Y125" s="5"/>
    </row>
    <row r="126" customFormat="false" ht="15" hidden="false" customHeight="false" outlineLevel="0" collapsed="false">
      <c r="A126" s="9"/>
      <c r="B126" s="10"/>
      <c r="C126" s="5"/>
      <c r="D126" s="5"/>
      <c r="E126" s="5"/>
      <c r="F126" s="5"/>
      <c r="G126" s="5"/>
      <c r="H126" s="5"/>
      <c r="I126" s="9" t="str">
        <f aca="false">IF(H126="","",HYPERLINK("https://wa.me/55"&amp;SUBSTITUTE(SUBSTITUTE(SUBSTITUTE(SUBSTITUTE(H126,"(",""),")",""),"-","")," ",""),"Abrir"))</f>
        <v/>
      </c>
      <c r="J126" s="9"/>
      <c r="K126" s="5"/>
      <c r="L126" s="5"/>
      <c r="M126" s="6"/>
      <c r="N126" s="10" t="str">
        <f aca="false">IF(M126="","",WORKDAY(M126,3))</f>
        <v/>
      </c>
      <c r="O126" s="10" t="str">
        <f aca="false">IF(M126="","",WORKDAY(M126,7))</f>
        <v/>
      </c>
      <c r="P126" s="10" t="str">
        <f aca="false">IF(M126="","",WORKDAY(M126,30))</f>
        <v/>
      </c>
      <c r="Q126" s="10" t="str">
        <f aca="true">IF(M126="","",IF(OR(T126="Sim",COUNTIF({"FECHADO";"Perdido";"Descartado"},L126)&gt;0),"",IF(TODAY()&lt;N126,N126,IF(TODAY()&lt;O126,O126,IF(TODAY()&lt;=P126,P126,"")))))</f>
        <v/>
      </c>
      <c r="R126" s="9" t="str">
        <f aca="true">IF(C126="","",IF(COUNTIF({"FECHADO";"Perdido";"Descartado"},L126)&gt;0,"-",IF(M126="","INICIAR",IF(T126="Sim","RESPONDEU",IF(Q126="","ESGOTADO",IF(Q126&lt;TODAY(),"ATRASADO",IF(Q126=TODAY(),"HOJE","No prazo")))))))</f>
        <v/>
      </c>
      <c r="S126" s="9" t="str">
        <f aca="true">IF(M126="","",TODAY()-M126)</f>
        <v/>
      </c>
      <c r="T126" s="7"/>
      <c r="U126" s="11"/>
      <c r="V126" s="11"/>
      <c r="W126" s="11"/>
      <c r="X126" s="10"/>
      <c r="Y126" s="5"/>
    </row>
    <row r="127" customFormat="false" ht="15" hidden="false" customHeight="false" outlineLevel="0" collapsed="false">
      <c r="A127" s="3"/>
      <c r="B127" s="4"/>
      <c r="C127" s="5"/>
      <c r="D127" s="5"/>
      <c r="E127" s="5"/>
      <c r="F127" s="5"/>
      <c r="G127" s="5"/>
      <c r="H127" s="5"/>
      <c r="I127" s="3" t="str">
        <f aca="false">IF(H127="","",HYPERLINK("https://wa.me/55"&amp;SUBSTITUTE(SUBSTITUTE(SUBSTITUTE(SUBSTITUTE(H127,"(",""),")",""),"-","")," ",""),"Abrir"))</f>
        <v/>
      </c>
      <c r="J127" s="3"/>
      <c r="K127" s="5"/>
      <c r="L127" s="5"/>
      <c r="M127" s="6"/>
      <c r="N127" s="4" t="str">
        <f aca="false">IF(M127="","",WORKDAY(M127,3))</f>
        <v/>
      </c>
      <c r="O127" s="4" t="str">
        <f aca="false">IF(M127="","",WORKDAY(M127,7))</f>
        <v/>
      </c>
      <c r="P127" s="4" t="str">
        <f aca="false">IF(M127="","",WORKDAY(M127,30))</f>
        <v/>
      </c>
      <c r="Q127" s="4" t="str">
        <f aca="true">IF(M127="","",IF(OR(T127="Sim",COUNTIF({"FECHADO";"Perdido";"Descartado"},L127)&gt;0),"",IF(TODAY()&lt;N127,N127,IF(TODAY()&lt;O127,O127,IF(TODAY()&lt;=P127,P127,"")))))</f>
        <v/>
      </c>
      <c r="R127" s="3" t="str">
        <f aca="true">IF(C127="","",IF(COUNTIF({"FECHADO";"Perdido";"Descartado"},L127)&gt;0,"-",IF(M127="","INICIAR",IF(T127="Sim","RESPONDEU",IF(Q127="","ESGOTADO",IF(Q127&lt;TODAY(),"ATRASADO",IF(Q127=TODAY(),"HOJE","No prazo")))))))</f>
        <v/>
      </c>
      <c r="S127" s="3" t="str">
        <f aca="true">IF(M127="","",TODAY()-M127)</f>
        <v/>
      </c>
      <c r="T127" s="7"/>
      <c r="U127" s="8"/>
      <c r="V127" s="8"/>
      <c r="W127" s="8"/>
      <c r="X127" s="4"/>
      <c r="Y127" s="5"/>
    </row>
    <row r="128" customFormat="false" ht="15" hidden="false" customHeight="false" outlineLevel="0" collapsed="false">
      <c r="A128" s="9"/>
      <c r="B128" s="10"/>
      <c r="C128" s="5"/>
      <c r="D128" s="5"/>
      <c r="E128" s="5"/>
      <c r="F128" s="5"/>
      <c r="G128" s="5"/>
      <c r="H128" s="5"/>
      <c r="I128" s="9" t="str">
        <f aca="false">IF(H128="","",HYPERLINK("https://wa.me/55"&amp;SUBSTITUTE(SUBSTITUTE(SUBSTITUTE(SUBSTITUTE(H128,"(",""),")",""),"-","")," ",""),"Abrir"))</f>
        <v/>
      </c>
      <c r="J128" s="9"/>
      <c r="K128" s="5"/>
      <c r="L128" s="5"/>
      <c r="M128" s="6"/>
      <c r="N128" s="10" t="str">
        <f aca="false">IF(M128="","",WORKDAY(M128,3))</f>
        <v/>
      </c>
      <c r="O128" s="10" t="str">
        <f aca="false">IF(M128="","",WORKDAY(M128,7))</f>
        <v/>
      </c>
      <c r="P128" s="10" t="str">
        <f aca="false">IF(M128="","",WORKDAY(M128,30))</f>
        <v/>
      </c>
      <c r="Q128" s="10" t="str">
        <f aca="true">IF(M128="","",IF(OR(T128="Sim",COUNTIF({"FECHADO";"Perdido";"Descartado"},L128)&gt;0),"",IF(TODAY()&lt;N128,N128,IF(TODAY()&lt;O128,O128,IF(TODAY()&lt;=P128,P128,"")))))</f>
        <v/>
      </c>
      <c r="R128" s="9" t="str">
        <f aca="true">IF(C128="","",IF(COUNTIF({"FECHADO";"Perdido";"Descartado"},L128)&gt;0,"-",IF(M128="","INICIAR",IF(T128="Sim","RESPONDEU",IF(Q128="","ESGOTADO",IF(Q128&lt;TODAY(),"ATRASADO",IF(Q128=TODAY(),"HOJE","No prazo")))))))</f>
        <v/>
      </c>
      <c r="S128" s="9" t="str">
        <f aca="true">IF(M128="","",TODAY()-M128)</f>
        <v/>
      </c>
      <c r="T128" s="7"/>
      <c r="U128" s="11"/>
      <c r="V128" s="11"/>
      <c r="W128" s="11"/>
      <c r="X128" s="10"/>
      <c r="Y128" s="5"/>
    </row>
    <row r="129" customFormat="false" ht="15" hidden="false" customHeight="false" outlineLevel="0" collapsed="false">
      <c r="A129" s="3"/>
      <c r="B129" s="4"/>
      <c r="C129" s="5"/>
      <c r="D129" s="5"/>
      <c r="E129" s="5"/>
      <c r="F129" s="5"/>
      <c r="G129" s="5"/>
      <c r="H129" s="5"/>
      <c r="I129" s="3" t="str">
        <f aca="false">IF(H129="","",HYPERLINK("https://wa.me/55"&amp;SUBSTITUTE(SUBSTITUTE(SUBSTITUTE(SUBSTITUTE(H129,"(",""),")",""),"-","")," ",""),"Abrir"))</f>
        <v/>
      </c>
      <c r="J129" s="3"/>
      <c r="K129" s="5"/>
      <c r="L129" s="5"/>
      <c r="M129" s="6"/>
      <c r="N129" s="4" t="str">
        <f aca="false">IF(M129="","",WORKDAY(M129,3))</f>
        <v/>
      </c>
      <c r="O129" s="4" t="str">
        <f aca="false">IF(M129="","",WORKDAY(M129,7))</f>
        <v/>
      </c>
      <c r="P129" s="4" t="str">
        <f aca="false">IF(M129="","",WORKDAY(M129,30))</f>
        <v/>
      </c>
      <c r="Q129" s="4" t="str">
        <f aca="true">IF(M129="","",IF(OR(T129="Sim",COUNTIF({"FECHADO";"Perdido";"Descartado"},L129)&gt;0),"",IF(TODAY()&lt;N129,N129,IF(TODAY()&lt;O129,O129,IF(TODAY()&lt;=P129,P129,"")))))</f>
        <v/>
      </c>
      <c r="R129" s="3" t="str">
        <f aca="true">IF(C129="","",IF(COUNTIF({"FECHADO";"Perdido";"Descartado"},L129)&gt;0,"-",IF(M129="","INICIAR",IF(T129="Sim","RESPONDEU",IF(Q129="","ESGOTADO",IF(Q129&lt;TODAY(),"ATRASADO",IF(Q129=TODAY(),"HOJE","No prazo")))))))</f>
        <v/>
      </c>
      <c r="S129" s="3" t="str">
        <f aca="true">IF(M129="","",TODAY()-M129)</f>
        <v/>
      </c>
      <c r="T129" s="7"/>
      <c r="U129" s="8"/>
      <c r="V129" s="8"/>
      <c r="W129" s="8"/>
      <c r="X129" s="4"/>
      <c r="Y129" s="5"/>
    </row>
    <row r="130" customFormat="false" ht="15" hidden="false" customHeight="false" outlineLevel="0" collapsed="false">
      <c r="A130" s="9"/>
      <c r="B130" s="10"/>
      <c r="C130" s="5"/>
      <c r="D130" s="5"/>
      <c r="E130" s="5"/>
      <c r="F130" s="5"/>
      <c r="G130" s="5"/>
      <c r="H130" s="5"/>
      <c r="I130" s="9" t="str">
        <f aca="false">IF(H130="","",HYPERLINK("https://wa.me/55"&amp;SUBSTITUTE(SUBSTITUTE(SUBSTITUTE(SUBSTITUTE(H130,"(",""),")",""),"-","")," ",""),"Abrir"))</f>
        <v/>
      </c>
      <c r="J130" s="9"/>
      <c r="K130" s="5"/>
      <c r="L130" s="5"/>
      <c r="M130" s="6"/>
      <c r="N130" s="10" t="str">
        <f aca="false">IF(M130="","",WORKDAY(M130,3))</f>
        <v/>
      </c>
      <c r="O130" s="10" t="str">
        <f aca="false">IF(M130="","",WORKDAY(M130,7))</f>
        <v/>
      </c>
      <c r="P130" s="10" t="str">
        <f aca="false">IF(M130="","",WORKDAY(M130,30))</f>
        <v/>
      </c>
      <c r="Q130" s="10" t="str">
        <f aca="true">IF(M130="","",IF(OR(T130="Sim",COUNTIF({"FECHADO";"Perdido";"Descartado"},L130)&gt;0),"",IF(TODAY()&lt;N130,N130,IF(TODAY()&lt;O130,O130,IF(TODAY()&lt;=P130,P130,"")))))</f>
        <v/>
      </c>
      <c r="R130" s="9" t="str">
        <f aca="true">IF(C130="","",IF(COUNTIF({"FECHADO";"Perdido";"Descartado"},L130)&gt;0,"-",IF(M130="","INICIAR",IF(T130="Sim","RESPONDEU",IF(Q130="","ESGOTADO",IF(Q130&lt;TODAY(),"ATRASADO",IF(Q130=TODAY(),"HOJE","No prazo")))))))</f>
        <v/>
      </c>
      <c r="S130" s="9" t="str">
        <f aca="true">IF(M130="","",TODAY()-M130)</f>
        <v/>
      </c>
      <c r="T130" s="7"/>
      <c r="U130" s="11"/>
      <c r="V130" s="11"/>
      <c r="W130" s="11"/>
      <c r="X130" s="10"/>
      <c r="Y130" s="5"/>
    </row>
    <row r="131" customFormat="false" ht="15" hidden="false" customHeight="false" outlineLevel="0" collapsed="false">
      <c r="A131" s="3"/>
      <c r="B131" s="4"/>
      <c r="C131" s="5"/>
      <c r="D131" s="5"/>
      <c r="E131" s="5"/>
      <c r="F131" s="5"/>
      <c r="G131" s="5"/>
      <c r="H131" s="5"/>
      <c r="I131" s="3" t="str">
        <f aca="false">IF(H131="","",HYPERLINK("https://wa.me/55"&amp;SUBSTITUTE(SUBSTITUTE(SUBSTITUTE(SUBSTITUTE(H131,"(",""),")",""),"-","")," ",""),"Abrir"))</f>
        <v/>
      </c>
      <c r="J131" s="3"/>
      <c r="K131" s="5"/>
      <c r="L131" s="5"/>
      <c r="M131" s="6"/>
      <c r="N131" s="4" t="str">
        <f aca="false">IF(M131="","",WORKDAY(M131,3))</f>
        <v/>
      </c>
      <c r="O131" s="4" t="str">
        <f aca="false">IF(M131="","",WORKDAY(M131,7))</f>
        <v/>
      </c>
      <c r="P131" s="4" t="str">
        <f aca="false">IF(M131="","",WORKDAY(M131,30))</f>
        <v/>
      </c>
      <c r="Q131" s="4" t="str">
        <f aca="true">IF(M131="","",IF(OR(T131="Sim",COUNTIF({"FECHADO";"Perdido";"Descartado"},L131)&gt;0),"",IF(TODAY()&lt;N131,N131,IF(TODAY()&lt;O131,O131,IF(TODAY()&lt;=P131,P131,"")))))</f>
        <v/>
      </c>
      <c r="R131" s="3" t="str">
        <f aca="true">IF(C131="","",IF(COUNTIF({"FECHADO";"Perdido";"Descartado"},L131)&gt;0,"-",IF(M131="","INICIAR",IF(T131="Sim","RESPONDEU",IF(Q131="","ESGOTADO",IF(Q131&lt;TODAY(),"ATRASADO",IF(Q131=TODAY(),"HOJE","No prazo")))))))</f>
        <v/>
      </c>
      <c r="S131" s="3" t="str">
        <f aca="true">IF(M131="","",TODAY()-M131)</f>
        <v/>
      </c>
      <c r="T131" s="7"/>
      <c r="U131" s="8"/>
      <c r="V131" s="8"/>
      <c r="W131" s="8"/>
      <c r="X131" s="4"/>
      <c r="Y131" s="5"/>
    </row>
    <row r="132" customFormat="false" ht="15" hidden="false" customHeight="false" outlineLevel="0" collapsed="false">
      <c r="A132" s="9"/>
      <c r="B132" s="10"/>
      <c r="C132" s="5"/>
      <c r="D132" s="5"/>
      <c r="E132" s="5"/>
      <c r="F132" s="5"/>
      <c r="G132" s="5"/>
      <c r="H132" s="5"/>
      <c r="I132" s="9" t="str">
        <f aca="false">IF(H132="","",HYPERLINK("https://wa.me/55"&amp;SUBSTITUTE(SUBSTITUTE(SUBSTITUTE(SUBSTITUTE(H132,"(",""),")",""),"-","")," ",""),"Abrir"))</f>
        <v/>
      </c>
      <c r="J132" s="9"/>
      <c r="K132" s="5"/>
      <c r="L132" s="5"/>
      <c r="M132" s="6"/>
      <c r="N132" s="10" t="str">
        <f aca="false">IF(M132="","",WORKDAY(M132,3))</f>
        <v/>
      </c>
      <c r="O132" s="10" t="str">
        <f aca="false">IF(M132="","",WORKDAY(M132,7))</f>
        <v/>
      </c>
      <c r="P132" s="10" t="str">
        <f aca="false">IF(M132="","",WORKDAY(M132,30))</f>
        <v/>
      </c>
      <c r="Q132" s="10" t="str">
        <f aca="true">IF(M132="","",IF(OR(T132="Sim",COUNTIF({"FECHADO";"Perdido";"Descartado"},L132)&gt;0),"",IF(TODAY()&lt;N132,N132,IF(TODAY()&lt;O132,O132,IF(TODAY()&lt;=P132,P132,"")))))</f>
        <v/>
      </c>
      <c r="R132" s="9" t="str">
        <f aca="true">IF(C132="","",IF(COUNTIF({"FECHADO";"Perdido";"Descartado"},L132)&gt;0,"-",IF(M132="","INICIAR",IF(T132="Sim","RESPONDEU",IF(Q132="","ESGOTADO",IF(Q132&lt;TODAY(),"ATRASADO",IF(Q132=TODAY(),"HOJE","No prazo")))))))</f>
        <v/>
      </c>
      <c r="S132" s="9" t="str">
        <f aca="true">IF(M132="","",TODAY()-M132)</f>
        <v/>
      </c>
      <c r="T132" s="7"/>
      <c r="U132" s="11"/>
      <c r="V132" s="11"/>
      <c r="W132" s="11"/>
      <c r="X132" s="10"/>
      <c r="Y132" s="5"/>
    </row>
    <row r="133" customFormat="false" ht="15" hidden="false" customHeight="false" outlineLevel="0" collapsed="false">
      <c r="A133" s="3"/>
      <c r="B133" s="4"/>
      <c r="C133" s="5"/>
      <c r="D133" s="5"/>
      <c r="E133" s="5"/>
      <c r="F133" s="5"/>
      <c r="G133" s="5"/>
      <c r="H133" s="5"/>
      <c r="I133" s="3" t="str">
        <f aca="false">IF(H133="","",HYPERLINK("https://wa.me/55"&amp;SUBSTITUTE(SUBSTITUTE(SUBSTITUTE(SUBSTITUTE(H133,"(",""),")",""),"-","")," ",""),"Abrir"))</f>
        <v/>
      </c>
      <c r="J133" s="3"/>
      <c r="K133" s="5"/>
      <c r="L133" s="5"/>
      <c r="M133" s="6"/>
      <c r="N133" s="4" t="str">
        <f aca="false">IF(M133="","",WORKDAY(M133,3))</f>
        <v/>
      </c>
      <c r="O133" s="4" t="str">
        <f aca="false">IF(M133="","",WORKDAY(M133,7))</f>
        <v/>
      </c>
      <c r="P133" s="4" t="str">
        <f aca="false">IF(M133="","",WORKDAY(M133,30))</f>
        <v/>
      </c>
      <c r="Q133" s="4" t="str">
        <f aca="true">IF(M133="","",IF(OR(T133="Sim",COUNTIF({"FECHADO";"Perdido";"Descartado"},L133)&gt;0),"",IF(TODAY()&lt;N133,N133,IF(TODAY()&lt;O133,O133,IF(TODAY()&lt;=P133,P133,"")))))</f>
        <v/>
      </c>
      <c r="R133" s="3" t="str">
        <f aca="true">IF(C133="","",IF(COUNTIF({"FECHADO";"Perdido";"Descartado"},L133)&gt;0,"-",IF(M133="","INICIAR",IF(T133="Sim","RESPONDEU",IF(Q133="","ESGOTADO",IF(Q133&lt;TODAY(),"ATRASADO",IF(Q133=TODAY(),"HOJE","No prazo")))))))</f>
        <v/>
      </c>
      <c r="S133" s="3" t="str">
        <f aca="true">IF(M133="","",TODAY()-M133)</f>
        <v/>
      </c>
      <c r="T133" s="7"/>
      <c r="U133" s="8"/>
      <c r="V133" s="8"/>
      <c r="W133" s="8"/>
      <c r="X133" s="4"/>
      <c r="Y133" s="5"/>
    </row>
    <row r="134" customFormat="false" ht="15" hidden="false" customHeight="false" outlineLevel="0" collapsed="false">
      <c r="A134" s="9"/>
      <c r="B134" s="10"/>
      <c r="C134" s="5"/>
      <c r="D134" s="5"/>
      <c r="E134" s="5"/>
      <c r="F134" s="5"/>
      <c r="G134" s="5"/>
      <c r="H134" s="5"/>
      <c r="I134" s="9" t="str">
        <f aca="false">IF(H134="","",HYPERLINK("https://wa.me/55"&amp;SUBSTITUTE(SUBSTITUTE(SUBSTITUTE(SUBSTITUTE(H134,"(",""),")",""),"-","")," ",""),"Abrir"))</f>
        <v/>
      </c>
      <c r="J134" s="9"/>
      <c r="K134" s="5"/>
      <c r="L134" s="5"/>
      <c r="M134" s="6"/>
      <c r="N134" s="10" t="str">
        <f aca="false">IF(M134="","",WORKDAY(M134,3))</f>
        <v/>
      </c>
      <c r="O134" s="10" t="str">
        <f aca="false">IF(M134="","",WORKDAY(M134,7))</f>
        <v/>
      </c>
      <c r="P134" s="10" t="str">
        <f aca="false">IF(M134="","",WORKDAY(M134,30))</f>
        <v/>
      </c>
      <c r="Q134" s="10" t="str">
        <f aca="true">IF(M134="","",IF(OR(T134="Sim",COUNTIF({"FECHADO";"Perdido";"Descartado"},L134)&gt;0),"",IF(TODAY()&lt;N134,N134,IF(TODAY()&lt;O134,O134,IF(TODAY()&lt;=P134,P134,"")))))</f>
        <v/>
      </c>
      <c r="R134" s="9" t="str">
        <f aca="true">IF(C134="","",IF(COUNTIF({"FECHADO";"Perdido";"Descartado"},L134)&gt;0,"-",IF(M134="","INICIAR",IF(T134="Sim","RESPONDEU",IF(Q134="","ESGOTADO",IF(Q134&lt;TODAY(),"ATRASADO",IF(Q134=TODAY(),"HOJE","No prazo")))))))</f>
        <v/>
      </c>
      <c r="S134" s="9" t="str">
        <f aca="true">IF(M134="","",TODAY()-M134)</f>
        <v/>
      </c>
      <c r="T134" s="7"/>
      <c r="U134" s="11"/>
      <c r="V134" s="11"/>
      <c r="W134" s="11"/>
      <c r="X134" s="10"/>
      <c r="Y134" s="5"/>
    </row>
    <row r="135" customFormat="false" ht="15" hidden="false" customHeight="false" outlineLevel="0" collapsed="false">
      <c r="A135" s="3"/>
      <c r="B135" s="4"/>
      <c r="C135" s="5"/>
      <c r="D135" s="5"/>
      <c r="E135" s="5"/>
      <c r="F135" s="5"/>
      <c r="G135" s="5"/>
      <c r="H135" s="5"/>
      <c r="I135" s="3" t="str">
        <f aca="false">IF(H135="","",HYPERLINK("https://wa.me/55"&amp;SUBSTITUTE(SUBSTITUTE(SUBSTITUTE(SUBSTITUTE(H135,"(",""),")",""),"-","")," ",""),"Abrir"))</f>
        <v/>
      </c>
      <c r="J135" s="3"/>
      <c r="K135" s="5"/>
      <c r="L135" s="5"/>
      <c r="M135" s="6"/>
      <c r="N135" s="4" t="str">
        <f aca="false">IF(M135="","",WORKDAY(M135,3))</f>
        <v/>
      </c>
      <c r="O135" s="4" t="str">
        <f aca="false">IF(M135="","",WORKDAY(M135,7))</f>
        <v/>
      </c>
      <c r="P135" s="4" t="str">
        <f aca="false">IF(M135="","",WORKDAY(M135,30))</f>
        <v/>
      </c>
      <c r="Q135" s="4" t="str">
        <f aca="true">IF(M135="","",IF(OR(T135="Sim",COUNTIF({"FECHADO";"Perdido";"Descartado"},L135)&gt;0),"",IF(TODAY()&lt;N135,N135,IF(TODAY()&lt;O135,O135,IF(TODAY()&lt;=P135,P135,"")))))</f>
        <v/>
      </c>
      <c r="R135" s="3" t="str">
        <f aca="true">IF(C135="","",IF(COUNTIF({"FECHADO";"Perdido";"Descartado"},L135)&gt;0,"-",IF(M135="","INICIAR",IF(T135="Sim","RESPONDEU",IF(Q135="","ESGOTADO",IF(Q135&lt;TODAY(),"ATRASADO",IF(Q135=TODAY(),"HOJE","No prazo")))))))</f>
        <v/>
      </c>
      <c r="S135" s="3" t="str">
        <f aca="true">IF(M135="","",TODAY()-M135)</f>
        <v/>
      </c>
      <c r="T135" s="7"/>
      <c r="U135" s="8"/>
      <c r="V135" s="8"/>
      <c r="W135" s="8"/>
      <c r="X135" s="4"/>
      <c r="Y135" s="5"/>
    </row>
    <row r="136" customFormat="false" ht="15" hidden="false" customHeight="false" outlineLevel="0" collapsed="false">
      <c r="A136" s="9"/>
      <c r="B136" s="10"/>
      <c r="C136" s="5"/>
      <c r="D136" s="5"/>
      <c r="E136" s="5"/>
      <c r="F136" s="5"/>
      <c r="G136" s="5"/>
      <c r="H136" s="5"/>
      <c r="I136" s="9" t="str">
        <f aca="false">IF(H136="","",HYPERLINK("https://wa.me/55"&amp;SUBSTITUTE(SUBSTITUTE(SUBSTITUTE(SUBSTITUTE(H136,"(",""),")",""),"-","")," ",""),"Abrir"))</f>
        <v/>
      </c>
      <c r="J136" s="9"/>
      <c r="K136" s="5"/>
      <c r="L136" s="5"/>
      <c r="M136" s="6"/>
      <c r="N136" s="10" t="str">
        <f aca="false">IF(M136="","",WORKDAY(M136,3))</f>
        <v/>
      </c>
      <c r="O136" s="10" t="str">
        <f aca="false">IF(M136="","",WORKDAY(M136,7))</f>
        <v/>
      </c>
      <c r="P136" s="10" t="str">
        <f aca="false">IF(M136="","",WORKDAY(M136,30))</f>
        <v/>
      </c>
      <c r="Q136" s="10" t="str">
        <f aca="true">IF(M136="","",IF(OR(T136="Sim",COUNTIF({"FECHADO";"Perdido";"Descartado"},L136)&gt;0),"",IF(TODAY()&lt;N136,N136,IF(TODAY()&lt;O136,O136,IF(TODAY()&lt;=P136,P136,"")))))</f>
        <v/>
      </c>
      <c r="R136" s="9" t="str">
        <f aca="true">IF(C136="","",IF(COUNTIF({"FECHADO";"Perdido";"Descartado"},L136)&gt;0,"-",IF(M136="","INICIAR",IF(T136="Sim","RESPONDEU",IF(Q136="","ESGOTADO",IF(Q136&lt;TODAY(),"ATRASADO",IF(Q136=TODAY(),"HOJE","No prazo")))))))</f>
        <v/>
      </c>
      <c r="S136" s="9" t="str">
        <f aca="true">IF(M136="","",TODAY()-M136)</f>
        <v/>
      </c>
      <c r="T136" s="7"/>
      <c r="U136" s="11"/>
      <c r="V136" s="11"/>
      <c r="W136" s="11"/>
      <c r="X136" s="10"/>
      <c r="Y136" s="5"/>
    </row>
    <row r="137" customFormat="false" ht="15" hidden="false" customHeight="false" outlineLevel="0" collapsed="false">
      <c r="A137" s="3"/>
      <c r="B137" s="4"/>
      <c r="C137" s="5"/>
      <c r="D137" s="5"/>
      <c r="E137" s="5"/>
      <c r="F137" s="5"/>
      <c r="G137" s="5"/>
      <c r="H137" s="5"/>
      <c r="I137" s="3" t="str">
        <f aca="false">IF(H137="","",HYPERLINK("https://wa.me/55"&amp;SUBSTITUTE(SUBSTITUTE(SUBSTITUTE(SUBSTITUTE(H137,"(",""),")",""),"-","")," ",""),"Abrir"))</f>
        <v/>
      </c>
      <c r="J137" s="3"/>
      <c r="K137" s="5"/>
      <c r="L137" s="5"/>
      <c r="M137" s="6"/>
      <c r="N137" s="4" t="str">
        <f aca="false">IF(M137="","",WORKDAY(M137,3))</f>
        <v/>
      </c>
      <c r="O137" s="4" t="str">
        <f aca="false">IF(M137="","",WORKDAY(M137,7))</f>
        <v/>
      </c>
      <c r="P137" s="4" t="str">
        <f aca="false">IF(M137="","",WORKDAY(M137,30))</f>
        <v/>
      </c>
      <c r="Q137" s="4" t="str">
        <f aca="true">IF(M137="","",IF(OR(T137="Sim",COUNTIF({"FECHADO";"Perdido";"Descartado"},L137)&gt;0),"",IF(TODAY()&lt;N137,N137,IF(TODAY()&lt;O137,O137,IF(TODAY()&lt;=P137,P137,"")))))</f>
        <v/>
      </c>
      <c r="R137" s="3" t="str">
        <f aca="true">IF(C137="","",IF(COUNTIF({"FECHADO";"Perdido";"Descartado"},L137)&gt;0,"-",IF(M137="","INICIAR",IF(T137="Sim","RESPONDEU",IF(Q137="","ESGOTADO",IF(Q137&lt;TODAY(),"ATRASADO",IF(Q137=TODAY(),"HOJE","No prazo")))))))</f>
        <v/>
      </c>
      <c r="S137" s="3" t="str">
        <f aca="true">IF(M137="","",TODAY()-M137)</f>
        <v/>
      </c>
      <c r="T137" s="7"/>
      <c r="U137" s="8"/>
      <c r="V137" s="8"/>
      <c r="W137" s="8"/>
      <c r="X137" s="4"/>
      <c r="Y137" s="5"/>
    </row>
    <row r="138" customFormat="false" ht="15" hidden="false" customHeight="false" outlineLevel="0" collapsed="false">
      <c r="A138" s="9"/>
      <c r="B138" s="10"/>
      <c r="C138" s="5"/>
      <c r="D138" s="5"/>
      <c r="E138" s="5"/>
      <c r="F138" s="5"/>
      <c r="G138" s="5"/>
      <c r="H138" s="5"/>
      <c r="I138" s="9" t="str">
        <f aca="false">IF(H138="","",HYPERLINK("https://wa.me/55"&amp;SUBSTITUTE(SUBSTITUTE(SUBSTITUTE(SUBSTITUTE(H138,"(",""),")",""),"-","")," ",""),"Abrir"))</f>
        <v/>
      </c>
      <c r="J138" s="9"/>
      <c r="K138" s="5"/>
      <c r="L138" s="5"/>
      <c r="M138" s="6"/>
      <c r="N138" s="10" t="str">
        <f aca="false">IF(M138="","",WORKDAY(M138,3))</f>
        <v/>
      </c>
      <c r="O138" s="10" t="str">
        <f aca="false">IF(M138="","",WORKDAY(M138,7))</f>
        <v/>
      </c>
      <c r="P138" s="10" t="str">
        <f aca="false">IF(M138="","",WORKDAY(M138,30))</f>
        <v/>
      </c>
      <c r="Q138" s="10" t="str">
        <f aca="true">IF(M138="","",IF(OR(T138="Sim",COUNTIF({"FECHADO";"Perdido";"Descartado"},L138)&gt;0),"",IF(TODAY()&lt;N138,N138,IF(TODAY()&lt;O138,O138,IF(TODAY()&lt;=P138,P138,"")))))</f>
        <v/>
      </c>
      <c r="R138" s="9" t="str">
        <f aca="true">IF(C138="","",IF(COUNTIF({"FECHADO";"Perdido";"Descartado"},L138)&gt;0,"-",IF(M138="","INICIAR",IF(T138="Sim","RESPONDEU",IF(Q138="","ESGOTADO",IF(Q138&lt;TODAY(),"ATRASADO",IF(Q138=TODAY(),"HOJE","No prazo")))))))</f>
        <v/>
      </c>
      <c r="S138" s="9" t="str">
        <f aca="true">IF(M138="","",TODAY()-M138)</f>
        <v/>
      </c>
      <c r="T138" s="7"/>
      <c r="U138" s="11"/>
      <c r="V138" s="11"/>
      <c r="W138" s="11"/>
      <c r="X138" s="10"/>
      <c r="Y138" s="5"/>
    </row>
    <row r="139" customFormat="false" ht="15" hidden="false" customHeight="false" outlineLevel="0" collapsed="false">
      <c r="A139" s="3"/>
      <c r="B139" s="4"/>
      <c r="C139" s="5"/>
      <c r="D139" s="5"/>
      <c r="E139" s="5"/>
      <c r="F139" s="5"/>
      <c r="G139" s="5"/>
      <c r="H139" s="5"/>
      <c r="I139" s="3" t="str">
        <f aca="false">IF(H139="","",HYPERLINK("https://wa.me/55"&amp;SUBSTITUTE(SUBSTITUTE(SUBSTITUTE(SUBSTITUTE(H139,"(",""),")",""),"-","")," ",""),"Abrir"))</f>
        <v/>
      </c>
      <c r="J139" s="3"/>
      <c r="K139" s="5"/>
      <c r="L139" s="5"/>
      <c r="M139" s="6"/>
      <c r="N139" s="4" t="str">
        <f aca="false">IF(M139="","",WORKDAY(M139,3))</f>
        <v/>
      </c>
      <c r="O139" s="4" t="str">
        <f aca="false">IF(M139="","",WORKDAY(M139,7))</f>
        <v/>
      </c>
      <c r="P139" s="4" t="str">
        <f aca="false">IF(M139="","",WORKDAY(M139,30))</f>
        <v/>
      </c>
      <c r="Q139" s="4" t="str">
        <f aca="true">IF(M139="","",IF(OR(T139="Sim",COUNTIF({"FECHADO";"Perdido";"Descartado"},L139)&gt;0),"",IF(TODAY()&lt;N139,N139,IF(TODAY()&lt;O139,O139,IF(TODAY()&lt;=P139,P139,"")))))</f>
        <v/>
      </c>
      <c r="R139" s="3" t="str">
        <f aca="true">IF(C139="","",IF(COUNTIF({"FECHADO";"Perdido";"Descartado"},L139)&gt;0,"-",IF(M139="","INICIAR",IF(T139="Sim","RESPONDEU",IF(Q139="","ESGOTADO",IF(Q139&lt;TODAY(),"ATRASADO",IF(Q139=TODAY(),"HOJE","No prazo")))))))</f>
        <v/>
      </c>
      <c r="S139" s="3" t="str">
        <f aca="true">IF(M139="","",TODAY()-M139)</f>
        <v/>
      </c>
      <c r="T139" s="7"/>
      <c r="U139" s="8"/>
      <c r="V139" s="8"/>
      <c r="W139" s="8"/>
      <c r="X139" s="4"/>
      <c r="Y139" s="5"/>
    </row>
    <row r="140" customFormat="false" ht="15" hidden="false" customHeight="false" outlineLevel="0" collapsed="false">
      <c r="A140" s="9"/>
      <c r="B140" s="10"/>
      <c r="C140" s="5"/>
      <c r="D140" s="5"/>
      <c r="E140" s="5"/>
      <c r="F140" s="5"/>
      <c r="G140" s="5"/>
      <c r="H140" s="5"/>
      <c r="I140" s="9" t="str">
        <f aca="false">IF(H140="","",HYPERLINK("https://wa.me/55"&amp;SUBSTITUTE(SUBSTITUTE(SUBSTITUTE(SUBSTITUTE(H140,"(",""),")",""),"-","")," ",""),"Abrir"))</f>
        <v/>
      </c>
      <c r="J140" s="9"/>
      <c r="K140" s="5"/>
      <c r="L140" s="5"/>
      <c r="M140" s="6"/>
      <c r="N140" s="10" t="str">
        <f aca="false">IF(M140="","",WORKDAY(M140,3))</f>
        <v/>
      </c>
      <c r="O140" s="10" t="str">
        <f aca="false">IF(M140="","",WORKDAY(M140,7))</f>
        <v/>
      </c>
      <c r="P140" s="10" t="str">
        <f aca="false">IF(M140="","",WORKDAY(M140,30))</f>
        <v/>
      </c>
      <c r="Q140" s="10" t="str">
        <f aca="true">IF(M140="","",IF(OR(T140="Sim",COUNTIF({"FECHADO";"Perdido";"Descartado"},L140)&gt;0),"",IF(TODAY()&lt;N140,N140,IF(TODAY()&lt;O140,O140,IF(TODAY()&lt;=P140,P140,"")))))</f>
        <v/>
      </c>
      <c r="R140" s="9" t="str">
        <f aca="true">IF(C140="","",IF(COUNTIF({"FECHADO";"Perdido";"Descartado"},L140)&gt;0,"-",IF(M140="","INICIAR",IF(T140="Sim","RESPONDEU",IF(Q140="","ESGOTADO",IF(Q140&lt;TODAY(),"ATRASADO",IF(Q140=TODAY(),"HOJE","No prazo")))))))</f>
        <v/>
      </c>
      <c r="S140" s="9" t="str">
        <f aca="true">IF(M140="","",TODAY()-M140)</f>
        <v/>
      </c>
      <c r="T140" s="7"/>
      <c r="U140" s="11"/>
      <c r="V140" s="11"/>
      <c r="W140" s="11"/>
      <c r="X140" s="10"/>
      <c r="Y140" s="5"/>
    </row>
    <row r="141" customFormat="false" ht="15" hidden="false" customHeight="false" outlineLevel="0" collapsed="false">
      <c r="A141" s="3"/>
      <c r="B141" s="4"/>
      <c r="C141" s="5"/>
      <c r="D141" s="5"/>
      <c r="E141" s="5"/>
      <c r="F141" s="5"/>
      <c r="G141" s="5"/>
      <c r="H141" s="5"/>
      <c r="I141" s="3" t="str">
        <f aca="false">IF(H141="","",HYPERLINK("https://wa.me/55"&amp;SUBSTITUTE(SUBSTITUTE(SUBSTITUTE(SUBSTITUTE(H141,"(",""),")",""),"-","")," ",""),"Abrir"))</f>
        <v/>
      </c>
      <c r="J141" s="3"/>
      <c r="K141" s="5"/>
      <c r="L141" s="5"/>
      <c r="M141" s="6"/>
      <c r="N141" s="4" t="str">
        <f aca="false">IF(M141="","",WORKDAY(M141,3))</f>
        <v/>
      </c>
      <c r="O141" s="4" t="str">
        <f aca="false">IF(M141="","",WORKDAY(M141,7))</f>
        <v/>
      </c>
      <c r="P141" s="4" t="str">
        <f aca="false">IF(M141="","",WORKDAY(M141,30))</f>
        <v/>
      </c>
      <c r="Q141" s="4" t="str">
        <f aca="true">IF(M141="","",IF(OR(T141="Sim",COUNTIF({"FECHADO";"Perdido";"Descartado"},L141)&gt;0),"",IF(TODAY()&lt;N141,N141,IF(TODAY()&lt;O141,O141,IF(TODAY()&lt;=P141,P141,"")))))</f>
        <v/>
      </c>
      <c r="R141" s="3" t="str">
        <f aca="true">IF(C141="","",IF(COUNTIF({"FECHADO";"Perdido";"Descartado"},L141)&gt;0,"-",IF(M141="","INICIAR",IF(T141="Sim","RESPONDEU",IF(Q141="","ESGOTADO",IF(Q141&lt;TODAY(),"ATRASADO",IF(Q141=TODAY(),"HOJE","No prazo")))))))</f>
        <v/>
      </c>
      <c r="S141" s="3" t="str">
        <f aca="true">IF(M141="","",TODAY()-M141)</f>
        <v/>
      </c>
      <c r="T141" s="7"/>
      <c r="U141" s="8"/>
      <c r="V141" s="8"/>
      <c r="W141" s="8"/>
      <c r="X141" s="4"/>
      <c r="Y141" s="5"/>
    </row>
    <row r="142" customFormat="false" ht="15" hidden="false" customHeight="false" outlineLevel="0" collapsed="false">
      <c r="A142" s="9"/>
      <c r="B142" s="10"/>
      <c r="C142" s="5"/>
      <c r="D142" s="5"/>
      <c r="E142" s="5"/>
      <c r="F142" s="5"/>
      <c r="G142" s="5"/>
      <c r="H142" s="5"/>
      <c r="I142" s="9" t="str">
        <f aca="false">IF(H142="","",HYPERLINK("https://wa.me/55"&amp;SUBSTITUTE(SUBSTITUTE(SUBSTITUTE(SUBSTITUTE(H142,"(",""),")",""),"-","")," ",""),"Abrir"))</f>
        <v/>
      </c>
      <c r="J142" s="9"/>
      <c r="K142" s="5"/>
      <c r="L142" s="5"/>
      <c r="M142" s="6"/>
      <c r="N142" s="10" t="str">
        <f aca="false">IF(M142="","",WORKDAY(M142,3))</f>
        <v/>
      </c>
      <c r="O142" s="10" t="str">
        <f aca="false">IF(M142="","",WORKDAY(M142,7))</f>
        <v/>
      </c>
      <c r="P142" s="10" t="str">
        <f aca="false">IF(M142="","",WORKDAY(M142,30))</f>
        <v/>
      </c>
      <c r="Q142" s="10" t="str">
        <f aca="true">IF(M142="","",IF(OR(T142="Sim",COUNTIF({"FECHADO";"Perdido";"Descartado"},L142)&gt;0),"",IF(TODAY()&lt;N142,N142,IF(TODAY()&lt;O142,O142,IF(TODAY()&lt;=P142,P142,"")))))</f>
        <v/>
      </c>
      <c r="R142" s="9" t="str">
        <f aca="true">IF(C142="","",IF(COUNTIF({"FECHADO";"Perdido";"Descartado"},L142)&gt;0,"-",IF(M142="","INICIAR",IF(T142="Sim","RESPONDEU",IF(Q142="","ESGOTADO",IF(Q142&lt;TODAY(),"ATRASADO",IF(Q142=TODAY(),"HOJE","No prazo")))))))</f>
        <v/>
      </c>
      <c r="S142" s="9" t="str">
        <f aca="true">IF(M142="","",TODAY()-M142)</f>
        <v/>
      </c>
      <c r="T142" s="7"/>
      <c r="U142" s="11"/>
      <c r="V142" s="11"/>
      <c r="W142" s="11"/>
      <c r="X142" s="10"/>
      <c r="Y142" s="5"/>
    </row>
    <row r="143" customFormat="false" ht="15" hidden="false" customHeight="false" outlineLevel="0" collapsed="false">
      <c r="A143" s="3"/>
      <c r="B143" s="4"/>
      <c r="C143" s="5"/>
      <c r="D143" s="5"/>
      <c r="E143" s="5"/>
      <c r="F143" s="5"/>
      <c r="G143" s="5"/>
      <c r="H143" s="5"/>
      <c r="I143" s="3" t="str">
        <f aca="false">IF(H143="","",HYPERLINK("https://wa.me/55"&amp;SUBSTITUTE(SUBSTITUTE(SUBSTITUTE(SUBSTITUTE(H143,"(",""),")",""),"-","")," ",""),"Abrir"))</f>
        <v/>
      </c>
      <c r="J143" s="3"/>
      <c r="K143" s="5"/>
      <c r="L143" s="5"/>
      <c r="M143" s="6"/>
      <c r="N143" s="4" t="str">
        <f aca="false">IF(M143="","",WORKDAY(M143,3))</f>
        <v/>
      </c>
      <c r="O143" s="4" t="str">
        <f aca="false">IF(M143="","",WORKDAY(M143,7))</f>
        <v/>
      </c>
      <c r="P143" s="4" t="str">
        <f aca="false">IF(M143="","",WORKDAY(M143,30))</f>
        <v/>
      </c>
      <c r="Q143" s="4" t="str">
        <f aca="true">IF(M143="","",IF(OR(T143="Sim",COUNTIF({"FECHADO";"Perdido";"Descartado"},L143)&gt;0),"",IF(TODAY()&lt;N143,N143,IF(TODAY()&lt;O143,O143,IF(TODAY()&lt;=P143,P143,"")))))</f>
        <v/>
      </c>
      <c r="R143" s="3" t="str">
        <f aca="true">IF(C143="","",IF(COUNTIF({"FECHADO";"Perdido";"Descartado"},L143)&gt;0,"-",IF(M143="","INICIAR",IF(T143="Sim","RESPONDEU",IF(Q143="","ESGOTADO",IF(Q143&lt;TODAY(),"ATRASADO",IF(Q143=TODAY(),"HOJE","No prazo")))))))</f>
        <v/>
      </c>
      <c r="S143" s="3" t="str">
        <f aca="true">IF(M143="","",TODAY()-M143)</f>
        <v/>
      </c>
      <c r="T143" s="7"/>
      <c r="U143" s="8"/>
      <c r="V143" s="8"/>
      <c r="W143" s="8"/>
      <c r="X143" s="4"/>
      <c r="Y143" s="5"/>
    </row>
    <row r="144" customFormat="false" ht="15" hidden="false" customHeight="false" outlineLevel="0" collapsed="false">
      <c r="A144" s="9"/>
      <c r="B144" s="10"/>
      <c r="C144" s="5"/>
      <c r="D144" s="5"/>
      <c r="E144" s="5"/>
      <c r="F144" s="5"/>
      <c r="G144" s="5"/>
      <c r="H144" s="5"/>
      <c r="I144" s="9" t="str">
        <f aca="false">IF(H144="","",HYPERLINK("https://wa.me/55"&amp;SUBSTITUTE(SUBSTITUTE(SUBSTITUTE(SUBSTITUTE(H144,"(",""),")",""),"-","")," ",""),"Abrir"))</f>
        <v/>
      </c>
      <c r="J144" s="9"/>
      <c r="K144" s="5"/>
      <c r="L144" s="5"/>
      <c r="M144" s="6"/>
      <c r="N144" s="10" t="str">
        <f aca="false">IF(M144="","",WORKDAY(M144,3))</f>
        <v/>
      </c>
      <c r="O144" s="10" t="str">
        <f aca="false">IF(M144="","",WORKDAY(M144,7))</f>
        <v/>
      </c>
      <c r="P144" s="10" t="str">
        <f aca="false">IF(M144="","",WORKDAY(M144,30))</f>
        <v/>
      </c>
      <c r="Q144" s="10" t="str">
        <f aca="true">IF(M144="","",IF(OR(T144="Sim",COUNTIF({"FECHADO";"Perdido";"Descartado"},L144)&gt;0),"",IF(TODAY()&lt;N144,N144,IF(TODAY()&lt;O144,O144,IF(TODAY()&lt;=P144,P144,"")))))</f>
        <v/>
      </c>
      <c r="R144" s="9" t="str">
        <f aca="true">IF(C144="","",IF(COUNTIF({"FECHADO";"Perdido";"Descartado"},L144)&gt;0,"-",IF(M144="","INICIAR",IF(T144="Sim","RESPONDEU",IF(Q144="","ESGOTADO",IF(Q144&lt;TODAY(),"ATRASADO",IF(Q144=TODAY(),"HOJE","No prazo")))))))</f>
        <v/>
      </c>
      <c r="S144" s="9" t="str">
        <f aca="true">IF(M144="","",TODAY()-M144)</f>
        <v/>
      </c>
      <c r="T144" s="7"/>
      <c r="U144" s="11"/>
      <c r="V144" s="11"/>
      <c r="W144" s="11"/>
      <c r="X144" s="10"/>
      <c r="Y144" s="5"/>
    </row>
    <row r="145" customFormat="false" ht="15" hidden="false" customHeight="false" outlineLevel="0" collapsed="false">
      <c r="A145" s="3"/>
      <c r="B145" s="4"/>
      <c r="C145" s="5"/>
      <c r="D145" s="5"/>
      <c r="E145" s="5"/>
      <c r="F145" s="5"/>
      <c r="G145" s="5"/>
      <c r="H145" s="5"/>
      <c r="I145" s="3" t="str">
        <f aca="false">IF(H145="","",HYPERLINK("https://wa.me/55"&amp;SUBSTITUTE(SUBSTITUTE(SUBSTITUTE(SUBSTITUTE(H145,"(",""),")",""),"-","")," ",""),"Abrir"))</f>
        <v/>
      </c>
      <c r="J145" s="3"/>
      <c r="K145" s="5"/>
      <c r="L145" s="5"/>
      <c r="M145" s="6"/>
      <c r="N145" s="4" t="str">
        <f aca="false">IF(M145="","",WORKDAY(M145,3))</f>
        <v/>
      </c>
      <c r="O145" s="4" t="str">
        <f aca="false">IF(M145="","",WORKDAY(M145,7))</f>
        <v/>
      </c>
      <c r="P145" s="4" t="str">
        <f aca="false">IF(M145="","",WORKDAY(M145,30))</f>
        <v/>
      </c>
      <c r="Q145" s="4" t="str">
        <f aca="true">IF(M145="","",IF(OR(T145="Sim",COUNTIF({"FECHADO";"Perdido";"Descartado"},L145)&gt;0),"",IF(TODAY()&lt;N145,N145,IF(TODAY()&lt;O145,O145,IF(TODAY()&lt;=P145,P145,"")))))</f>
        <v/>
      </c>
      <c r="R145" s="3" t="str">
        <f aca="true">IF(C145="","",IF(COUNTIF({"FECHADO";"Perdido";"Descartado"},L145)&gt;0,"-",IF(M145="","INICIAR",IF(T145="Sim","RESPONDEU",IF(Q145="","ESGOTADO",IF(Q145&lt;TODAY(),"ATRASADO",IF(Q145=TODAY(),"HOJE","No prazo")))))))</f>
        <v/>
      </c>
      <c r="S145" s="3" t="str">
        <f aca="true">IF(M145="","",TODAY()-M145)</f>
        <v/>
      </c>
      <c r="T145" s="7"/>
      <c r="U145" s="8"/>
      <c r="V145" s="8"/>
      <c r="W145" s="8"/>
      <c r="X145" s="4"/>
      <c r="Y145" s="5"/>
    </row>
    <row r="146" customFormat="false" ht="15" hidden="false" customHeight="false" outlineLevel="0" collapsed="false">
      <c r="A146" s="9"/>
      <c r="B146" s="10"/>
      <c r="C146" s="5"/>
      <c r="D146" s="5"/>
      <c r="E146" s="5"/>
      <c r="F146" s="5"/>
      <c r="G146" s="5"/>
      <c r="H146" s="5"/>
      <c r="I146" s="9" t="str">
        <f aca="false">IF(H146="","",HYPERLINK("https://wa.me/55"&amp;SUBSTITUTE(SUBSTITUTE(SUBSTITUTE(SUBSTITUTE(H146,"(",""),")",""),"-","")," ",""),"Abrir"))</f>
        <v/>
      </c>
      <c r="J146" s="9"/>
      <c r="K146" s="5"/>
      <c r="L146" s="5"/>
      <c r="M146" s="6"/>
      <c r="N146" s="10" t="str">
        <f aca="false">IF(M146="","",WORKDAY(M146,3))</f>
        <v/>
      </c>
      <c r="O146" s="10" t="str">
        <f aca="false">IF(M146="","",WORKDAY(M146,7))</f>
        <v/>
      </c>
      <c r="P146" s="10" t="str">
        <f aca="false">IF(M146="","",WORKDAY(M146,30))</f>
        <v/>
      </c>
      <c r="Q146" s="10" t="str">
        <f aca="true">IF(M146="","",IF(OR(T146="Sim",COUNTIF({"FECHADO";"Perdido";"Descartado"},L146)&gt;0),"",IF(TODAY()&lt;N146,N146,IF(TODAY()&lt;O146,O146,IF(TODAY()&lt;=P146,P146,"")))))</f>
        <v/>
      </c>
      <c r="R146" s="9" t="str">
        <f aca="true">IF(C146="","",IF(COUNTIF({"FECHADO";"Perdido";"Descartado"},L146)&gt;0,"-",IF(M146="","INICIAR",IF(T146="Sim","RESPONDEU",IF(Q146="","ESGOTADO",IF(Q146&lt;TODAY(),"ATRASADO",IF(Q146=TODAY(),"HOJE","No prazo")))))))</f>
        <v/>
      </c>
      <c r="S146" s="9" t="str">
        <f aca="true">IF(M146="","",TODAY()-M146)</f>
        <v/>
      </c>
      <c r="T146" s="7"/>
      <c r="U146" s="11"/>
      <c r="V146" s="11"/>
      <c r="W146" s="11"/>
      <c r="X146" s="10"/>
      <c r="Y146" s="5"/>
    </row>
    <row r="147" customFormat="false" ht="15" hidden="false" customHeight="false" outlineLevel="0" collapsed="false">
      <c r="A147" s="3"/>
      <c r="B147" s="4"/>
      <c r="C147" s="5"/>
      <c r="D147" s="5"/>
      <c r="E147" s="5"/>
      <c r="F147" s="5"/>
      <c r="G147" s="5"/>
      <c r="H147" s="5"/>
      <c r="I147" s="3" t="str">
        <f aca="false">IF(H147="","",HYPERLINK("https://wa.me/55"&amp;SUBSTITUTE(SUBSTITUTE(SUBSTITUTE(SUBSTITUTE(H147,"(",""),")",""),"-","")," ",""),"Abrir"))</f>
        <v/>
      </c>
      <c r="J147" s="3"/>
      <c r="K147" s="5"/>
      <c r="L147" s="5"/>
      <c r="M147" s="6"/>
      <c r="N147" s="4" t="str">
        <f aca="false">IF(M147="","",WORKDAY(M147,3))</f>
        <v/>
      </c>
      <c r="O147" s="4" t="str">
        <f aca="false">IF(M147="","",WORKDAY(M147,7))</f>
        <v/>
      </c>
      <c r="P147" s="4" t="str">
        <f aca="false">IF(M147="","",WORKDAY(M147,30))</f>
        <v/>
      </c>
      <c r="Q147" s="4" t="str">
        <f aca="true">IF(M147="","",IF(OR(T147="Sim",COUNTIF({"FECHADO";"Perdido";"Descartado"},L147)&gt;0),"",IF(TODAY()&lt;N147,N147,IF(TODAY()&lt;O147,O147,IF(TODAY()&lt;=P147,P147,"")))))</f>
        <v/>
      </c>
      <c r="R147" s="3" t="str">
        <f aca="true">IF(C147="","",IF(COUNTIF({"FECHADO";"Perdido";"Descartado"},L147)&gt;0,"-",IF(M147="","INICIAR",IF(T147="Sim","RESPONDEU",IF(Q147="","ESGOTADO",IF(Q147&lt;TODAY(),"ATRASADO",IF(Q147=TODAY(),"HOJE","No prazo")))))))</f>
        <v/>
      </c>
      <c r="S147" s="3" t="str">
        <f aca="true">IF(M147="","",TODAY()-M147)</f>
        <v/>
      </c>
      <c r="T147" s="7"/>
      <c r="U147" s="8"/>
      <c r="V147" s="8"/>
      <c r="W147" s="8"/>
      <c r="X147" s="4"/>
      <c r="Y147" s="5"/>
    </row>
    <row r="148" customFormat="false" ht="15" hidden="false" customHeight="false" outlineLevel="0" collapsed="false">
      <c r="A148" s="9"/>
      <c r="B148" s="10"/>
      <c r="C148" s="5"/>
      <c r="D148" s="5"/>
      <c r="E148" s="5"/>
      <c r="F148" s="5"/>
      <c r="G148" s="5"/>
      <c r="H148" s="5"/>
      <c r="I148" s="9" t="str">
        <f aca="false">IF(H148="","",HYPERLINK("https://wa.me/55"&amp;SUBSTITUTE(SUBSTITUTE(SUBSTITUTE(SUBSTITUTE(H148,"(",""),")",""),"-","")," ",""),"Abrir"))</f>
        <v/>
      </c>
      <c r="J148" s="9"/>
      <c r="K148" s="5"/>
      <c r="L148" s="5"/>
      <c r="M148" s="6"/>
      <c r="N148" s="10" t="str">
        <f aca="false">IF(M148="","",WORKDAY(M148,3))</f>
        <v/>
      </c>
      <c r="O148" s="10" t="str">
        <f aca="false">IF(M148="","",WORKDAY(M148,7))</f>
        <v/>
      </c>
      <c r="P148" s="10" t="str">
        <f aca="false">IF(M148="","",WORKDAY(M148,30))</f>
        <v/>
      </c>
      <c r="Q148" s="10" t="str">
        <f aca="true">IF(M148="","",IF(OR(T148="Sim",COUNTIF({"FECHADO";"Perdido";"Descartado"},L148)&gt;0),"",IF(TODAY()&lt;N148,N148,IF(TODAY()&lt;O148,O148,IF(TODAY()&lt;=P148,P148,"")))))</f>
        <v/>
      </c>
      <c r="R148" s="9" t="str">
        <f aca="true">IF(C148="","",IF(COUNTIF({"FECHADO";"Perdido";"Descartado"},L148)&gt;0,"-",IF(M148="","INICIAR",IF(T148="Sim","RESPONDEU",IF(Q148="","ESGOTADO",IF(Q148&lt;TODAY(),"ATRASADO",IF(Q148=TODAY(),"HOJE","No prazo")))))))</f>
        <v/>
      </c>
      <c r="S148" s="9" t="str">
        <f aca="true">IF(M148="","",TODAY()-M148)</f>
        <v/>
      </c>
      <c r="T148" s="7"/>
      <c r="U148" s="11"/>
      <c r="V148" s="11"/>
      <c r="W148" s="11"/>
      <c r="X148" s="10"/>
      <c r="Y148" s="5"/>
    </row>
    <row r="149" customFormat="false" ht="15" hidden="false" customHeight="false" outlineLevel="0" collapsed="false">
      <c r="A149" s="3"/>
      <c r="B149" s="4"/>
      <c r="C149" s="5"/>
      <c r="D149" s="5"/>
      <c r="E149" s="5"/>
      <c r="F149" s="5"/>
      <c r="G149" s="5"/>
      <c r="H149" s="5"/>
      <c r="I149" s="3" t="str">
        <f aca="false">IF(H149="","",HYPERLINK("https://wa.me/55"&amp;SUBSTITUTE(SUBSTITUTE(SUBSTITUTE(SUBSTITUTE(H149,"(",""),")",""),"-","")," ",""),"Abrir"))</f>
        <v/>
      </c>
      <c r="J149" s="3"/>
      <c r="K149" s="5"/>
      <c r="L149" s="5"/>
      <c r="M149" s="6"/>
      <c r="N149" s="4" t="str">
        <f aca="false">IF(M149="","",WORKDAY(M149,3))</f>
        <v/>
      </c>
      <c r="O149" s="4" t="str">
        <f aca="false">IF(M149="","",WORKDAY(M149,7))</f>
        <v/>
      </c>
      <c r="P149" s="4" t="str">
        <f aca="false">IF(M149="","",WORKDAY(M149,30))</f>
        <v/>
      </c>
      <c r="Q149" s="4" t="str">
        <f aca="true">IF(M149="","",IF(OR(T149="Sim",COUNTIF({"FECHADO";"Perdido";"Descartado"},L149)&gt;0),"",IF(TODAY()&lt;N149,N149,IF(TODAY()&lt;O149,O149,IF(TODAY()&lt;=P149,P149,"")))))</f>
        <v/>
      </c>
      <c r="R149" s="3" t="str">
        <f aca="true">IF(C149="","",IF(COUNTIF({"FECHADO";"Perdido";"Descartado"},L149)&gt;0,"-",IF(M149="","INICIAR",IF(T149="Sim","RESPONDEU",IF(Q149="","ESGOTADO",IF(Q149&lt;TODAY(),"ATRASADO",IF(Q149=TODAY(),"HOJE","No prazo")))))))</f>
        <v/>
      </c>
      <c r="S149" s="3" t="str">
        <f aca="true">IF(M149="","",TODAY()-M149)</f>
        <v/>
      </c>
      <c r="T149" s="7"/>
      <c r="U149" s="8"/>
      <c r="V149" s="8"/>
      <c r="W149" s="8"/>
      <c r="X149" s="4"/>
      <c r="Y149" s="5"/>
    </row>
    <row r="150" customFormat="false" ht="15" hidden="false" customHeight="false" outlineLevel="0" collapsed="false">
      <c r="A150" s="9"/>
      <c r="B150" s="10"/>
      <c r="C150" s="5"/>
      <c r="D150" s="5"/>
      <c r="E150" s="5"/>
      <c r="F150" s="5"/>
      <c r="G150" s="5"/>
      <c r="H150" s="5"/>
      <c r="I150" s="9" t="str">
        <f aca="false">IF(H150="","",HYPERLINK("https://wa.me/55"&amp;SUBSTITUTE(SUBSTITUTE(SUBSTITUTE(SUBSTITUTE(H150,"(",""),")",""),"-","")," ",""),"Abrir"))</f>
        <v/>
      </c>
      <c r="J150" s="9"/>
      <c r="K150" s="5"/>
      <c r="L150" s="5"/>
      <c r="M150" s="6"/>
      <c r="N150" s="10" t="str">
        <f aca="false">IF(M150="","",WORKDAY(M150,3))</f>
        <v/>
      </c>
      <c r="O150" s="10" t="str">
        <f aca="false">IF(M150="","",WORKDAY(M150,7))</f>
        <v/>
      </c>
      <c r="P150" s="10" t="str">
        <f aca="false">IF(M150="","",WORKDAY(M150,30))</f>
        <v/>
      </c>
      <c r="Q150" s="10" t="str">
        <f aca="true">IF(M150="","",IF(OR(T150="Sim",COUNTIF({"FECHADO";"Perdido";"Descartado"},L150)&gt;0),"",IF(TODAY()&lt;N150,N150,IF(TODAY()&lt;O150,O150,IF(TODAY()&lt;=P150,P150,"")))))</f>
        <v/>
      </c>
      <c r="R150" s="9" t="str">
        <f aca="true">IF(C150="","",IF(COUNTIF({"FECHADO";"Perdido";"Descartado"},L150)&gt;0,"-",IF(M150="","INICIAR",IF(T150="Sim","RESPONDEU",IF(Q150="","ESGOTADO",IF(Q150&lt;TODAY(),"ATRASADO",IF(Q150=TODAY(),"HOJE","No prazo")))))))</f>
        <v/>
      </c>
      <c r="S150" s="9" t="str">
        <f aca="true">IF(M150="","",TODAY()-M150)</f>
        <v/>
      </c>
      <c r="T150" s="7"/>
      <c r="U150" s="11"/>
      <c r="V150" s="11"/>
      <c r="W150" s="11"/>
      <c r="X150" s="10"/>
      <c r="Y150" s="5"/>
    </row>
    <row r="151" customFormat="false" ht="15" hidden="false" customHeight="false" outlineLevel="0" collapsed="false">
      <c r="A151" s="3"/>
      <c r="B151" s="4"/>
      <c r="C151" s="5"/>
      <c r="D151" s="5"/>
      <c r="E151" s="5"/>
      <c r="F151" s="5"/>
      <c r="G151" s="5"/>
      <c r="H151" s="5"/>
      <c r="I151" s="3" t="str">
        <f aca="false">IF(H151="","",HYPERLINK("https://wa.me/55"&amp;SUBSTITUTE(SUBSTITUTE(SUBSTITUTE(SUBSTITUTE(H151,"(",""),")",""),"-","")," ",""),"Abrir"))</f>
        <v/>
      </c>
      <c r="J151" s="3"/>
      <c r="K151" s="5"/>
      <c r="L151" s="5"/>
      <c r="M151" s="6"/>
      <c r="N151" s="4" t="str">
        <f aca="false">IF(M151="","",WORKDAY(M151,3))</f>
        <v/>
      </c>
      <c r="O151" s="4" t="str">
        <f aca="false">IF(M151="","",WORKDAY(M151,7))</f>
        <v/>
      </c>
      <c r="P151" s="4" t="str">
        <f aca="false">IF(M151="","",WORKDAY(M151,30))</f>
        <v/>
      </c>
      <c r="Q151" s="4" t="str">
        <f aca="true">IF(M151="","",IF(OR(T151="Sim",COUNTIF({"FECHADO";"Perdido";"Descartado"},L151)&gt;0),"",IF(TODAY()&lt;N151,N151,IF(TODAY()&lt;O151,O151,IF(TODAY()&lt;=P151,P151,"")))))</f>
        <v/>
      </c>
      <c r="R151" s="3" t="str">
        <f aca="true">IF(C151="","",IF(COUNTIF({"FECHADO";"Perdido";"Descartado"},L151)&gt;0,"-",IF(M151="","INICIAR",IF(T151="Sim","RESPONDEU",IF(Q151="","ESGOTADO",IF(Q151&lt;TODAY(),"ATRASADO",IF(Q151=TODAY(),"HOJE","No prazo")))))))</f>
        <v/>
      </c>
      <c r="S151" s="3" t="str">
        <f aca="true">IF(M151="","",TODAY()-M151)</f>
        <v/>
      </c>
      <c r="T151" s="7"/>
      <c r="U151" s="8"/>
      <c r="V151" s="8"/>
      <c r="W151" s="8"/>
      <c r="X151" s="4"/>
      <c r="Y151" s="5"/>
    </row>
    <row r="152" customFormat="false" ht="15" hidden="false" customHeight="false" outlineLevel="0" collapsed="false">
      <c r="A152" s="9"/>
      <c r="B152" s="10"/>
      <c r="C152" s="5"/>
      <c r="D152" s="5"/>
      <c r="E152" s="5"/>
      <c r="F152" s="5"/>
      <c r="G152" s="5"/>
      <c r="H152" s="5"/>
      <c r="I152" s="9" t="str">
        <f aca="false">IF(H152="","",HYPERLINK("https://wa.me/55"&amp;SUBSTITUTE(SUBSTITUTE(SUBSTITUTE(SUBSTITUTE(H152,"(",""),")",""),"-","")," ",""),"Abrir"))</f>
        <v/>
      </c>
      <c r="J152" s="9"/>
      <c r="K152" s="5"/>
      <c r="L152" s="5"/>
      <c r="M152" s="6"/>
      <c r="N152" s="10" t="str">
        <f aca="false">IF(M152="","",WORKDAY(M152,3))</f>
        <v/>
      </c>
      <c r="O152" s="10" t="str">
        <f aca="false">IF(M152="","",WORKDAY(M152,7))</f>
        <v/>
      </c>
      <c r="P152" s="10" t="str">
        <f aca="false">IF(M152="","",WORKDAY(M152,30))</f>
        <v/>
      </c>
      <c r="Q152" s="10" t="str">
        <f aca="true">IF(M152="","",IF(OR(T152="Sim",COUNTIF({"FECHADO";"Perdido";"Descartado"},L152)&gt;0),"",IF(TODAY()&lt;N152,N152,IF(TODAY()&lt;O152,O152,IF(TODAY()&lt;=P152,P152,"")))))</f>
        <v/>
      </c>
      <c r="R152" s="9" t="str">
        <f aca="true">IF(C152="","",IF(COUNTIF({"FECHADO";"Perdido";"Descartado"},L152)&gt;0,"-",IF(M152="","INICIAR",IF(T152="Sim","RESPONDEU",IF(Q152="","ESGOTADO",IF(Q152&lt;TODAY(),"ATRASADO",IF(Q152=TODAY(),"HOJE","No prazo")))))))</f>
        <v/>
      </c>
      <c r="S152" s="9" t="str">
        <f aca="true">IF(M152="","",TODAY()-M152)</f>
        <v/>
      </c>
      <c r="T152" s="7"/>
      <c r="U152" s="11"/>
      <c r="V152" s="11"/>
      <c r="W152" s="11"/>
      <c r="X152" s="10"/>
      <c r="Y152" s="5"/>
    </row>
    <row r="153" customFormat="false" ht="15" hidden="false" customHeight="false" outlineLevel="0" collapsed="false">
      <c r="A153" s="3"/>
      <c r="B153" s="4"/>
      <c r="C153" s="5"/>
      <c r="D153" s="5"/>
      <c r="E153" s="5"/>
      <c r="F153" s="5"/>
      <c r="G153" s="5"/>
      <c r="H153" s="5"/>
      <c r="I153" s="3" t="str">
        <f aca="false">IF(H153="","",HYPERLINK("https://wa.me/55"&amp;SUBSTITUTE(SUBSTITUTE(SUBSTITUTE(SUBSTITUTE(H153,"(",""),")",""),"-","")," ",""),"Abrir"))</f>
        <v/>
      </c>
      <c r="J153" s="3"/>
      <c r="K153" s="5"/>
      <c r="L153" s="5"/>
      <c r="M153" s="6"/>
      <c r="N153" s="4" t="str">
        <f aca="false">IF(M153="","",WORKDAY(M153,3))</f>
        <v/>
      </c>
      <c r="O153" s="4" t="str">
        <f aca="false">IF(M153="","",WORKDAY(M153,7))</f>
        <v/>
      </c>
      <c r="P153" s="4" t="str">
        <f aca="false">IF(M153="","",WORKDAY(M153,30))</f>
        <v/>
      </c>
      <c r="Q153" s="4" t="str">
        <f aca="true">IF(M153="","",IF(OR(T153="Sim",COUNTIF({"FECHADO";"Perdido";"Descartado"},L153)&gt;0),"",IF(TODAY()&lt;N153,N153,IF(TODAY()&lt;O153,O153,IF(TODAY()&lt;=P153,P153,"")))))</f>
        <v/>
      </c>
      <c r="R153" s="3" t="str">
        <f aca="true">IF(C153="","",IF(COUNTIF({"FECHADO";"Perdido";"Descartado"},L153)&gt;0,"-",IF(M153="","INICIAR",IF(T153="Sim","RESPONDEU",IF(Q153="","ESGOTADO",IF(Q153&lt;TODAY(),"ATRASADO",IF(Q153=TODAY(),"HOJE","No prazo")))))))</f>
        <v/>
      </c>
      <c r="S153" s="3" t="str">
        <f aca="true">IF(M153="","",TODAY()-M153)</f>
        <v/>
      </c>
      <c r="T153" s="7"/>
      <c r="U153" s="8"/>
      <c r="V153" s="8"/>
      <c r="W153" s="8"/>
      <c r="X153" s="4"/>
      <c r="Y153" s="5"/>
    </row>
    <row r="154" customFormat="false" ht="15" hidden="false" customHeight="false" outlineLevel="0" collapsed="false">
      <c r="A154" s="9"/>
      <c r="B154" s="10"/>
      <c r="C154" s="5"/>
      <c r="D154" s="5"/>
      <c r="E154" s="5"/>
      <c r="F154" s="5"/>
      <c r="G154" s="5"/>
      <c r="H154" s="5"/>
      <c r="I154" s="9" t="str">
        <f aca="false">IF(H154="","",HYPERLINK("https://wa.me/55"&amp;SUBSTITUTE(SUBSTITUTE(SUBSTITUTE(SUBSTITUTE(H154,"(",""),")",""),"-","")," ",""),"Abrir"))</f>
        <v/>
      </c>
      <c r="J154" s="9"/>
      <c r="K154" s="5"/>
      <c r="L154" s="5"/>
      <c r="M154" s="6"/>
      <c r="N154" s="10" t="str">
        <f aca="false">IF(M154="","",WORKDAY(M154,3))</f>
        <v/>
      </c>
      <c r="O154" s="10" t="str">
        <f aca="false">IF(M154="","",WORKDAY(M154,7))</f>
        <v/>
      </c>
      <c r="P154" s="10" t="str">
        <f aca="false">IF(M154="","",WORKDAY(M154,30))</f>
        <v/>
      </c>
      <c r="Q154" s="10" t="str">
        <f aca="true">IF(M154="","",IF(OR(T154="Sim",COUNTIF({"FECHADO";"Perdido";"Descartado"},L154)&gt;0),"",IF(TODAY()&lt;N154,N154,IF(TODAY()&lt;O154,O154,IF(TODAY()&lt;=P154,P154,"")))))</f>
        <v/>
      </c>
      <c r="R154" s="9" t="str">
        <f aca="true">IF(C154="","",IF(COUNTIF({"FECHADO";"Perdido";"Descartado"},L154)&gt;0,"-",IF(M154="","INICIAR",IF(T154="Sim","RESPONDEU",IF(Q154="","ESGOTADO",IF(Q154&lt;TODAY(),"ATRASADO",IF(Q154=TODAY(),"HOJE","No prazo")))))))</f>
        <v/>
      </c>
      <c r="S154" s="9" t="str">
        <f aca="true">IF(M154="","",TODAY()-M154)</f>
        <v/>
      </c>
      <c r="T154" s="7"/>
      <c r="U154" s="11"/>
      <c r="V154" s="11"/>
      <c r="W154" s="11"/>
      <c r="X154" s="10"/>
      <c r="Y154" s="5"/>
    </row>
    <row r="155" customFormat="false" ht="15" hidden="false" customHeight="false" outlineLevel="0" collapsed="false">
      <c r="A155" s="3"/>
      <c r="B155" s="4"/>
      <c r="C155" s="5"/>
      <c r="D155" s="5"/>
      <c r="E155" s="5"/>
      <c r="F155" s="5"/>
      <c r="G155" s="5"/>
      <c r="H155" s="5"/>
      <c r="I155" s="3" t="str">
        <f aca="false">IF(H155="","",HYPERLINK("https://wa.me/55"&amp;SUBSTITUTE(SUBSTITUTE(SUBSTITUTE(SUBSTITUTE(H155,"(",""),")",""),"-","")," ",""),"Abrir"))</f>
        <v/>
      </c>
      <c r="J155" s="3"/>
      <c r="K155" s="5"/>
      <c r="L155" s="5"/>
      <c r="M155" s="6"/>
      <c r="N155" s="4" t="str">
        <f aca="false">IF(M155="","",WORKDAY(M155,3))</f>
        <v/>
      </c>
      <c r="O155" s="4" t="str">
        <f aca="false">IF(M155="","",WORKDAY(M155,7))</f>
        <v/>
      </c>
      <c r="P155" s="4" t="str">
        <f aca="false">IF(M155="","",WORKDAY(M155,30))</f>
        <v/>
      </c>
      <c r="Q155" s="4" t="str">
        <f aca="true">IF(M155="","",IF(OR(T155="Sim",COUNTIF({"FECHADO";"Perdido";"Descartado"},L155)&gt;0),"",IF(TODAY()&lt;N155,N155,IF(TODAY()&lt;O155,O155,IF(TODAY()&lt;=P155,P155,"")))))</f>
        <v/>
      </c>
      <c r="R155" s="3" t="str">
        <f aca="true">IF(C155="","",IF(COUNTIF({"FECHADO";"Perdido";"Descartado"},L155)&gt;0,"-",IF(M155="","INICIAR",IF(T155="Sim","RESPONDEU",IF(Q155="","ESGOTADO",IF(Q155&lt;TODAY(),"ATRASADO",IF(Q155=TODAY(),"HOJE","No prazo")))))))</f>
        <v/>
      </c>
      <c r="S155" s="3" t="str">
        <f aca="true">IF(M155="","",TODAY()-M155)</f>
        <v/>
      </c>
      <c r="T155" s="7"/>
      <c r="U155" s="8"/>
      <c r="V155" s="8"/>
      <c r="W155" s="8"/>
      <c r="X155" s="4"/>
      <c r="Y155" s="5"/>
    </row>
    <row r="156" customFormat="false" ht="15" hidden="false" customHeight="false" outlineLevel="0" collapsed="false">
      <c r="A156" s="9"/>
      <c r="B156" s="10"/>
      <c r="C156" s="5"/>
      <c r="D156" s="5"/>
      <c r="E156" s="5"/>
      <c r="F156" s="5"/>
      <c r="G156" s="5"/>
      <c r="H156" s="5"/>
      <c r="I156" s="9" t="str">
        <f aca="false">IF(H156="","",HYPERLINK("https://wa.me/55"&amp;SUBSTITUTE(SUBSTITUTE(SUBSTITUTE(SUBSTITUTE(H156,"(",""),")",""),"-","")," ",""),"Abrir"))</f>
        <v/>
      </c>
      <c r="J156" s="9"/>
      <c r="K156" s="5"/>
      <c r="L156" s="5"/>
      <c r="M156" s="6"/>
      <c r="N156" s="10" t="str">
        <f aca="false">IF(M156="","",WORKDAY(M156,3))</f>
        <v/>
      </c>
      <c r="O156" s="10" t="str">
        <f aca="false">IF(M156="","",WORKDAY(M156,7))</f>
        <v/>
      </c>
      <c r="P156" s="10" t="str">
        <f aca="false">IF(M156="","",WORKDAY(M156,30))</f>
        <v/>
      </c>
      <c r="Q156" s="10" t="str">
        <f aca="true">IF(M156="","",IF(OR(T156="Sim",COUNTIF({"FECHADO";"Perdido";"Descartado"},L156)&gt;0),"",IF(TODAY()&lt;N156,N156,IF(TODAY()&lt;O156,O156,IF(TODAY()&lt;=P156,P156,"")))))</f>
        <v/>
      </c>
      <c r="R156" s="9" t="str">
        <f aca="true">IF(C156="","",IF(COUNTIF({"FECHADO";"Perdido";"Descartado"},L156)&gt;0,"-",IF(M156="","INICIAR",IF(T156="Sim","RESPONDEU",IF(Q156="","ESGOTADO",IF(Q156&lt;TODAY(),"ATRASADO",IF(Q156=TODAY(),"HOJE","No prazo")))))))</f>
        <v/>
      </c>
      <c r="S156" s="9" t="str">
        <f aca="true">IF(M156="","",TODAY()-M156)</f>
        <v/>
      </c>
      <c r="T156" s="7"/>
      <c r="U156" s="11"/>
      <c r="V156" s="11"/>
      <c r="W156" s="11"/>
      <c r="X156" s="10"/>
      <c r="Y156" s="5"/>
    </row>
    <row r="157" customFormat="false" ht="15" hidden="false" customHeight="false" outlineLevel="0" collapsed="false">
      <c r="A157" s="3"/>
      <c r="B157" s="4"/>
      <c r="C157" s="5"/>
      <c r="D157" s="5"/>
      <c r="E157" s="5"/>
      <c r="F157" s="5"/>
      <c r="G157" s="5"/>
      <c r="H157" s="5"/>
      <c r="I157" s="3" t="str">
        <f aca="false">IF(H157="","",HYPERLINK("https://wa.me/55"&amp;SUBSTITUTE(SUBSTITUTE(SUBSTITUTE(SUBSTITUTE(H157,"(",""),")",""),"-","")," ",""),"Abrir"))</f>
        <v/>
      </c>
      <c r="J157" s="3"/>
      <c r="K157" s="5"/>
      <c r="L157" s="5"/>
      <c r="M157" s="6"/>
      <c r="N157" s="4" t="str">
        <f aca="false">IF(M157="","",WORKDAY(M157,3))</f>
        <v/>
      </c>
      <c r="O157" s="4" t="str">
        <f aca="false">IF(M157="","",WORKDAY(M157,7))</f>
        <v/>
      </c>
      <c r="P157" s="4" t="str">
        <f aca="false">IF(M157="","",WORKDAY(M157,30))</f>
        <v/>
      </c>
      <c r="Q157" s="4" t="str">
        <f aca="true">IF(M157="","",IF(OR(T157="Sim",COUNTIF({"FECHADO";"Perdido";"Descartado"},L157)&gt;0),"",IF(TODAY()&lt;N157,N157,IF(TODAY()&lt;O157,O157,IF(TODAY()&lt;=P157,P157,"")))))</f>
        <v/>
      </c>
      <c r="R157" s="3" t="str">
        <f aca="true">IF(C157="","",IF(COUNTIF({"FECHADO";"Perdido";"Descartado"},L157)&gt;0,"-",IF(M157="","INICIAR",IF(T157="Sim","RESPONDEU",IF(Q157="","ESGOTADO",IF(Q157&lt;TODAY(),"ATRASADO",IF(Q157=TODAY(),"HOJE","No prazo")))))))</f>
        <v/>
      </c>
      <c r="S157" s="3" t="str">
        <f aca="true">IF(M157="","",TODAY()-M157)</f>
        <v/>
      </c>
      <c r="T157" s="7"/>
      <c r="U157" s="8"/>
      <c r="V157" s="8"/>
      <c r="W157" s="8"/>
      <c r="X157" s="4"/>
      <c r="Y157" s="5"/>
    </row>
    <row r="158" customFormat="false" ht="15" hidden="false" customHeight="false" outlineLevel="0" collapsed="false">
      <c r="A158" s="9"/>
      <c r="B158" s="10"/>
      <c r="C158" s="5"/>
      <c r="D158" s="5"/>
      <c r="E158" s="5"/>
      <c r="F158" s="5"/>
      <c r="G158" s="5"/>
      <c r="H158" s="5"/>
      <c r="I158" s="9" t="str">
        <f aca="false">IF(H158="","",HYPERLINK("https://wa.me/55"&amp;SUBSTITUTE(SUBSTITUTE(SUBSTITUTE(SUBSTITUTE(H158,"(",""),")",""),"-","")," ",""),"Abrir"))</f>
        <v/>
      </c>
      <c r="J158" s="9"/>
      <c r="K158" s="5"/>
      <c r="L158" s="5"/>
      <c r="M158" s="6"/>
      <c r="N158" s="10" t="str">
        <f aca="false">IF(M158="","",WORKDAY(M158,3))</f>
        <v/>
      </c>
      <c r="O158" s="10" t="str">
        <f aca="false">IF(M158="","",WORKDAY(M158,7))</f>
        <v/>
      </c>
      <c r="P158" s="10" t="str">
        <f aca="false">IF(M158="","",WORKDAY(M158,30))</f>
        <v/>
      </c>
      <c r="Q158" s="10" t="str">
        <f aca="true">IF(M158="","",IF(OR(T158="Sim",COUNTIF({"FECHADO";"Perdido";"Descartado"},L158)&gt;0),"",IF(TODAY()&lt;N158,N158,IF(TODAY()&lt;O158,O158,IF(TODAY()&lt;=P158,P158,"")))))</f>
        <v/>
      </c>
      <c r="R158" s="9" t="str">
        <f aca="true">IF(C158="","",IF(COUNTIF({"FECHADO";"Perdido";"Descartado"},L158)&gt;0,"-",IF(M158="","INICIAR",IF(T158="Sim","RESPONDEU",IF(Q158="","ESGOTADO",IF(Q158&lt;TODAY(),"ATRASADO",IF(Q158=TODAY(),"HOJE","No prazo")))))))</f>
        <v/>
      </c>
      <c r="S158" s="9" t="str">
        <f aca="true">IF(M158="","",TODAY()-M158)</f>
        <v/>
      </c>
      <c r="T158" s="7"/>
      <c r="U158" s="11"/>
      <c r="V158" s="11"/>
      <c r="W158" s="11"/>
      <c r="X158" s="10"/>
      <c r="Y158" s="5"/>
    </row>
    <row r="159" customFormat="false" ht="15" hidden="false" customHeight="false" outlineLevel="0" collapsed="false">
      <c r="A159" s="3"/>
      <c r="B159" s="4"/>
      <c r="C159" s="5"/>
      <c r="D159" s="5"/>
      <c r="E159" s="5"/>
      <c r="F159" s="5"/>
      <c r="G159" s="5"/>
      <c r="H159" s="5"/>
      <c r="I159" s="3" t="str">
        <f aca="false">IF(H159="","",HYPERLINK("https://wa.me/55"&amp;SUBSTITUTE(SUBSTITUTE(SUBSTITUTE(SUBSTITUTE(H159,"(",""),")",""),"-","")," ",""),"Abrir"))</f>
        <v/>
      </c>
      <c r="J159" s="3"/>
      <c r="K159" s="5"/>
      <c r="L159" s="5"/>
      <c r="M159" s="6"/>
      <c r="N159" s="4" t="str">
        <f aca="false">IF(M159="","",WORKDAY(M159,3))</f>
        <v/>
      </c>
      <c r="O159" s="4" t="str">
        <f aca="false">IF(M159="","",WORKDAY(M159,7))</f>
        <v/>
      </c>
      <c r="P159" s="4" t="str">
        <f aca="false">IF(M159="","",WORKDAY(M159,30))</f>
        <v/>
      </c>
      <c r="Q159" s="4" t="str">
        <f aca="true">IF(M159="","",IF(OR(T159="Sim",COUNTIF({"FECHADO";"Perdido";"Descartado"},L159)&gt;0),"",IF(TODAY()&lt;N159,N159,IF(TODAY()&lt;O159,O159,IF(TODAY()&lt;=P159,P159,"")))))</f>
        <v/>
      </c>
      <c r="R159" s="3" t="str">
        <f aca="true">IF(C159="","",IF(COUNTIF({"FECHADO";"Perdido";"Descartado"},L159)&gt;0,"-",IF(M159="","INICIAR",IF(T159="Sim","RESPONDEU",IF(Q159="","ESGOTADO",IF(Q159&lt;TODAY(),"ATRASADO",IF(Q159=TODAY(),"HOJE","No prazo")))))))</f>
        <v/>
      </c>
      <c r="S159" s="3" t="str">
        <f aca="true">IF(M159="","",TODAY()-M159)</f>
        <v/>
      </c>
      <c r="T159" s="7"/>
      <c r="U159" s="8"/>
      <c r="V159" s="8"/>
      <c r="W159" s="8"/>
      <c r="X159" s="4"/>
      <c r="Y159" s="5"/>
    </row>
    <row r="160" customFormat="false" ht="15" hidden="false" customHeight="false" outlineLevel="0" collapsed="false">
      <c r="A160" s="9"/>
      <c r="B160" s="10"/>
      <c r="C160" s="5"/>
      <c r="D160" s="5"/>
      <c r="E160" s="5"/>
      <c r="F160" s="5"/>
      <c r="G160" s="5"/>
      <c r="H160" s="5"/>
      <c r="I160" s="9" t="str">
        <f aca="false">IF(H160="","",HYPERLINK("https://wa.me/55"&amp;SUBSTITUTE(SUBSTITUTE(SUBSTITUTE(SUBSTITUTE(H160,"(",""),")",""),"-","")," ",""),"Abrir"))</f>
        <v/>
      </c>
      <c r="J160" s="9"/>
      <c r="K160" s="5"/>
      <c r="L160" s="5"/>
      <c r="M160" s="6"/>
      <c r="N160" s="10" t="str">
        <f aca="false">IF(M160="","",WORKDAY(M160,3))</f>
        <v/>
      </c>
      <c r="O160" s="10" t="str">
        <f aca="false">IF(M160="","",WORKDAY(M160,7))</f>
        <v/>
      </c>
      <c r="P160" s="10" t="str">
        <f aca="false">IF(M160="","",WORKDAY(M160,30))</f>
        <v/>
      </c>
      <c r="Q160" s="10" t="str">
        <f aca="true">IF(M160="","",IF(OR(T160="Sim",COUNTIF({"FECHADO";"Perdido";"Descartado"},L160)&gt;0),"",IF(TODAY()&lt;N160,N160,IF(TODAY()&lt;O160,O160,IF(TODAY()&lt;=P160,P160,"")))))</f>
        <v/>
      </c>
      <c r="R160" s="9" t="str">
        <f aca="true">IF(C160="","",IF(COUNTIF({"FECHADO";"Perdido";"Descartado"},L160)&gt;0,"-",IF(M160="","INICIAR",IF(T160="Sim","RESPONDEU",IF(Q160="","ESGOTADO",IF(Q160&lt;TODAY(),"ATRASADO",IF(Q160=TODAY(),"HOJE","No prazo")))))))</f>
        <v/>
      </c>
      <c r="S160" s="9" t="str">
        <f aca="true">IF(M160="","",TODAY()-M160)</f>
        <v/>
      </c>
      <c r="T160" s="7"/>
      <c r="U160" s="11"/>
      <c r="V160" s="11"/>
      <c r="W160" s="11"/>
      <c r="X160" s="10"/>
      <c r="Y160" s="5"/>
    </row>
    <row r="161" customFormat="false" ht="15" hidden="false" customHeight="false" outlineLevel="0" collapsed="false">
      <c r="A161" s="3"/>
      <c r="B161" s="4"/>
      <c r="C161" s="5"/>
      <c r="D161" s="5"/>
      <c r="E161" s="5"/>
      <c r="F161" s="5"/>
      <c r="G161" s="5"/>
      <c r="H161" s="5"/>
      <c r="I161" s="3" t="str">
        <f aca="false">IF(H161="","",HYPERLINK("https://wa.me/55"&amp;SUBSTITUTE(SUBSTITUTE(SUBSTITUTE(SUBSTITUTE(H161,"(",""),")",""),"-","")," ",""),"Abrir"))</f>
        <v/>
      </c>
      <c r="J161" s="3"/>
      <c r="K161" s="5"/>
      <c r="L161" s="5"/>
      <c r="M161" s="6"/>
      <c r="N161" s="4" t="str">
        <f aca="false">IF(M161="","",WORKDAY(M161,3))</f>
        <v/>
      </c>
      <c r="O161" s="4" t="str">
        <f aca="false">IF(M161="","",WORKDAY(M161,7))</f>
        <v/>
      </c>
      <c r="P161" s="4" t="str">
        <f aca="false">IF(M161="","",WORKDAY(M161,30))</f>
        <v/>
      </c>
      <c r="Q161" s="4" t="str">
        <f aca="true">IF(M161="","",IF(OR(T161="Sim",COUNTIF({"FECHADO";"Perdido";"Descartado"},L161)&gt;0),"",IF(TODAY()&lt;N161,N161,IF(TODAY()&lt;O161,O161,IF(TODAY()&lt;=P161,P161,"")))))</f>
        <v/>
      </c>
      <c r="R161" s="3" t="str">
        <f aca="true">IF(C161="","",IF(COUNTIF({"FECHADO";"Perdido";"Descartado"},L161)&gt;0,"-",IF(M161="","INICIAR",IF(T161="Sim","RESPONDEU",IF(Q161="","ESGOTADO",IF(Q161&lt;TODAY(),"ATRASADO",IF(Q161=TODAY(),"HOJE","No prazo")))))))</f>
        <v/>
      </c>
      <c r="S161" s="3" t="str">
        <f aca="true">IF(M161="","",TODAY()-M161)</f>
        <v/>
      </c>
      <c r="T161" s="7"/>
      <c r="U161" s="8"/>
      <c r="V161" s="8"/>
      <c r="W161" s="8"/>
      <c r="X161" s="4"/>
      <c r="Y161" s="5"/>
    </row>
    <row r="162" customFormat="false" ht="15" hidden="false" customHeight="false" outlineLevel="0" collapsed="false">
      <c r="A162" s="9"/>
      <c r="B162" s="10"/>
      <c r="C162" s="5"/>
      <c r="D162" s="5"/>
      <c r="E162" s="5"/>
      <c r="F162" s="5"/>
      <c r="G162" s="5"/>
      <c r="H162" s="5"/>
      <c r="I162" s="9" t="str">
        <f aca="false">IF(H162="","",HYPERLINK("https://wa.me/55"&amp;SUBSTITUTE(SUBSTITUTE(SUBSTITUTE(SUBSTITUTE(H162,"(",""),")",""),"-","")," ",""),"Abrir"))</f>
        <v/>
      </c>
      <c r="J162" s="9"/>
      <c r="K162" s="5"/>
      <c r="L162" s="5"/>
      <c r="M162" s="6"/>
      <c r="N162" s="10" t="str">
        <f aca="false">IF(M162="","",WORKDAY(M162,3))</f>
        <v/>
      </c>
      <c r="O162" s="10" t="str">
        <f aca="false">IF(M162="","",WORKDAY(M162,7))</f>
        <v/>
      </c>
      <c r="P162" s="10" t="str">
        <f aca="false">IF(M162="","",WORKDAY(M162,30))</f>
        <v/>
      </c>
      <c r="Q162" s="10" t="str">
        <f aca="true">IF(M162="","",IF(OR(T162="Sim",COUNTIF({"FECHADO";"Perdido";"Descartado"},L162)&gt;0),"",IF(TODAY()&lt;N162,N162,IF(TODAY()&lt;O162,O162,IF(TODAY()&lt;=P162,P162,"")))))</f>
        <v/>
      </c>
      <c r="R162" s="9" t="str">
        <f aca="true">IF(C162="","",IF(COUNTIF({"FECHADO";"Perdido";"Descartado"},L162)&gt;0,"-",IF(M162="","INICIAR",IF(T162="Sim","RESPONDEU",IF(Q162="","ESGOTADO",IF(Q162&lt;TODAY(),"ATRASADO",IF(Q162=TODAY(),"HOJE","No prazo")))))))</f>
        <v/>
      </c>
      <c r="S162" s="9" t="str">
        <f aca="true">IF(M162="","",TODAY()-M162)</f>
        <v/>
      </c>
      <c r="T162" s="7"/>
      <c r="U162" s="11"/>
      <c r="V162" s="11"/>
      <c r="W162" s="11"/>
      <c r="X162" s="10"/>
      <c r="Y162" s="5"/>
    </row>
    <row r="163" customFormat="false" ht="15" hidden="false" customHeight="false" outlineLevel="0" collapsed="false">
      <c r="A163" s="3"/>
      <c r="B163" s="4"/>
      <c r="C163" s="5"/>
      <c r="D163" s="5"/>
      <c r="E163" s="5"/>
      <c r="F163" s="5"/>
      <c r="G163" s="5"/>
      <c r="H163" s="5"/>
      <c r="I163" s="3" t="str">
        <f aca="false">IF(H163="","",HYPERLINK("https://wa.me/55"&amp;SUBSTITUTE(SUBSTITUTE(SUBSTITUTE(SUBSTITUTE(H163,"(",""),")",""),"-","")," ",""),"Abrir"))</f>
        <v/>
      </c>
      <c r="J163" s="3"/>
      <c r="K163" s="5"/>
      <c r="L163" s="5"/>
      <c r="M163" s="6"/>
      <c r="N163" s="4" t="str">
        <f aca="false">IF(M163="","",WORKDAY(M163,3))</f>
        <v/>
      </c>
      <c r="O163" s="4" t="str">
        <f aca="false">IF(M163="","",WORKDAY(M163,7))</f>
        <v/>
      </c>
      <c r="P163" s="4" t="str">
        <f aca="false">IF(M163="","",WORKDAY(M163,30))</f>
        <v/>
      </c>
      <c r="Q163" s="4" t="str">
        <f aca="true">IF(M163="","",IF(OR(T163="Sim",COUNTIF({"FECHADO";"Perdido";"Descartado"},L163)&gt;0),"",IF(TODAY()&lt;N163,N163,IF(TODAY()&lt;O163,O163,IF(TODAY()&lt;=P163,P163,"")))))</f>
        <v/>
      </c>
      <c r="R163" s="3" t="str">
        <f aca="true">IF(C163="","",IF(COUNTIF({"FECHADO";"Perdido";"Descartado"},L163)&gt;0,"-",IF(M163="","INICIAR",IF(T163="Sim","RESPONDEU",IF(Q163="","ESGOTADO",IF(Q163&lt;TODAY(),"ATRASADO",IF(Q163=TODAY(),"HOJE","No prazo")))))))</f>
        <v/>
      </c>
      <c r="S163" s="3" t="str">
        <f aca="true">IF(M163="","",TODAY()-M163)</f>
        <v/>
      </c>
      <c r="T163" s="7"/>
      <c r="U163" s="8"/>
      <c r="V163" s="8"/>
      <c r="W163" s="8"/>
      <c r="X163" s="4"/>
      <c r="Y163" s="5"/>
    </row>
    <row r="164" customFormat="false" ht="15" hidden="false" customHeight="false" outlineLevel="0" collapsed="false">
      <c r="A164" s="9"/>
      <c r="B164" s="10"/>
      <c r="C164" s="5"/>
      <c r="D164" s="5"/>
      <c r="E164" s="5"/>
      <c r="F164" s="5"/>
      <c r="G164" s="5"/>
      <c r="H164" s="5"/>
      <c r="I164" s="9" t="str">
        <f aca="false">IF(H164="","",HYPERLINK("https://wa.me/55"&amp;SUBSTITUTE(SUBSTITUTE(SUBSTITUTE(SUBSTITUTE(H164,"(",""),")",""),"-","")," ",""),"Abrir"))</f>
        <v/>
      </c>
      <c r="J164" s="9"/>
      <c r="K164" s="5"/>
      <c r="L164" s="5"/>
      <c r="M164" s="6"/>
      <c r="N164" s="10" t="str">
        <f aca="false">IF(M164="","",WORKDAY(M164,3))</f>
        <v/>
      </c>
      <c r="O164" s="10" t="str">
        <f aca="false">IF(M164="","",WORKDAY(M164,7))</f>
        <v/>
      </c>
      <c r="P164" s="10" t="str">
        <f aca="false">IF(M164="","",WORKDAY(M164,30))</f>
        <v/>
      </c>
      <c r="Q164" s="10" t="str">
        <f aca="true">IF(M164="","",IF(OR(T164="Sim",COUNTIF({"FECHADO";"Perdido";"Descartado"},L164)&gt;0),"",IF(TODAY()&lt;N164,N164,IF(TODAY()&lt;O164,O164,IF(TODAY()&lt;=P164,P164,"")))))</f>
        <v/>
      </c>
      <c r="R164" s="9" t="str">
        <f aca="true">IF(C164="","",IF(COUNTIF({"FECHADO";"Perdido";"Descartado"},L164)&gt;0,"-",IF(M164="","INICIAR",IF(T164="Sim","RESPONDEU",IF(Q164="","ESGOTADO",IF(Q164&lt;TODAY(),"ATRASADO",IF(Q164=TODAY(),"HOJE","No prazo")))))))</f>
        <v/>
      </c>
      <c r="S164" s="9" t="str">
        <f aca="true">IF(M164="","",TODAY()-M164)</f>
        <v/>
      </c>
      <c r="T164" s="7"/>
      <c r="U164" s="11"/>
      <c r="V164" s="11"/>
      <c r="W164" s="11"/>
      <c r="X164" s="10"/>
      <c r="Y164" s="5"/>
    </row>
    <row r="165" customFormat="false" ht="15" hidden="false" customHeight="false" outlineLevel="0" collapsed="false">
      <c r="A165" s="3"/>
      <c r="B165" s="4"/>
      <c r="C165" s="5"/>
      <c r="D165" s="5"/>
      <c r="E165" s="5"/>
      <c r="F165" s="5"/>
      <c r="G165" s="5"/>
      <c r="H165" s="5"/>
      <c r="I165" s="3" t="str">
        <f aca="false">IF(H165="","",HYPERLINK("https://wa.me/55"&amp;SUBSTITUTE(SUBSTITUTE(SUBSTITUTE(SUBSTITUTE(H165,"(",""),")",""),"-","")," ",""),"Abrir"))</f>
        <v/>
      </c>
      <c r="J165" s="3"/>
      <c r="K165" s="5"/>
      <c r="L165" s="5"/>
      <c r="M165" s="6"/>
      <c r="N165" s="4" t="str">
        <f aca="false">IF(M165="","",WORKDAY(M165,3))</f>
        <v/>
      </c>
      <c r="O165" s="4" t="str">
        <f aca="false">IF(M165="","",WORKDAY(M165,7))</f>
        <v/>
      </c>
      <c r="P165" s="4" t="str">
        <f aca="false">IF(M165="","",WORKDAY(M165,30))</f>
        <v/>
      </c>
      <c r="Q165" s="4" t="str">
        <f aca="true">IF(M165="","",IF(OR(T165="Sim",COUNTIF({"FECHADO";"Perdido";"Descartado"},L165)&gt;0),"",IF(TODAY()&lt;N165,N165,IF(TODAY()&lt;O165,O165,IF(TODAY()&lt;=P165,P165,"")))))</f>
        <v/>
      </c>
      <c r="R165" s="3" t="str">
        <f aca="true">IF(C165="","",IF(COUNTIF({"FECHADO";"Perdido";"Descartado"},L165)&gt;0,"-",IF(M165="","INICIAR",IF(T165="Sim","RESPONDEU",IF(Q165="","ESGOTADO",IF(Q165&lt;TODAY(),"ATRASADO",IF(Q165=TODAY(),"HOJE","No prazo")))))))</f>
        <v/>
      </c>
      <c r="S165" s="3" t="str">
        <f aca="true">IF(M165="","",TODAY()-M165)</f>
        <v/>
      </c>
      <c r="T165" s="7"/>
      <c r="U165" s="8"/>
      <c r="V165" s="8"/>
      <c r="W165" s="8"/>
      <c r="X165" s="4"/>
      <c r="Y165" s="5"/>
    </row>
    <row r="166" customFormat="false" ht="15" hidden="false" customHeight="false" outlineLevel="0" collapsed="false">
      <c r="A166" s="9"/>
      <c r="B166" s="10"/>
      <c r="C166" s="5"/>
      <c r="D166" s="5"/>
      <c r="E166" s="5"/>
      <c r="F166" s="5"/>
      <c r="G166" s="5"/>
      <c r="H166" s="5"/>
      <c r="I166" s="9" t="str">
        <f aca="false">IF(H166="","",HYPERLINK("https://wa.me/55"&amp;SUBSTITUTE(SUBSTITUTE(SUBSTITUTE(SUBSTITUTE(H166,"(",""),")",""),"-","")," ",""),"Abrir"))</f>
        <v/>
      </c>
      <c r="J166" s="9"/>
      <c r="K166" s="5"/>
      <c r="L166" s="5"/>
      <c r="M166" s="6"/>
      <c r="N166" s="10" t="str">
        <f aca="false">IF(M166="","",WORKDAY(M166,3))</f>
        <v/>
      </c>
      <c r="O166" s="10" t="str">
        <f aca="false">IF(M166="","",WORKDAY(M166,7))</f>
        <v/>
      </c>
      <c r="P166" s="10" t="str">
        <f aca="false">IF(M166="","",WORKDAY(M166,30))</f>
        <v/>
      </c>
      <c r="Q166" s="10" t="str">
        <f aca="true">IF(M166="","",IF(OR(T166="Sim",COUNTIF({"FECHADO";"Perdido";"Descartado"},L166)&gt;0),"",IF(TODAY()&lt;N166,N166,IF(TODAY()&lt;O166,O166,IF(TODAY()&lt;=P166,P166,"")))))</f>
        <v/>
      </c>
      <c r="R166" s="9" t="str">
        <f aca="true">IF(C166="","",IF(COUNTIF({"FECHADO";"Perdido";"Descartado"},L166)&gt;0,"-",IF(M166="","INICIAR",IF(T166="Sim","RESPONDEU",IF(Q166="","ESGOTADO",IF(Q166&lt;TODAY(),"ATRASADO",IF(Q166=TODAY(),"HOJE","No prazo")))))))</f>
        <v/>
      </c>
      <c r="S166" s="9" t="str">
        <f aca="true">IF(M166="","",TODAY()-M166)</f>
        <v/>
      </c>
      <c r="T166" s="7"/>
      <c r="U166" s="11"/>
      <c r="V166" s="11"/>
      <c r="W166" s="11"/>
      <c r="X166" s="10"/>
      <c r="Y166" s="5"/>
    </row>
    <row r="167" customFormat="false" ht="15" hidden="false" customHeight="false" outlineLevel="0" collapsed="false">
      <c r="A167" s="3"/>
      <c r="B167" s="4"/>
      <c r="C167" s="5"/>
      <c r="D167" s="5"/>
      <c r="E167" s="5"/>
      <c r="F167" s="5"/>
      <c r="G167" s="5"/>
      <c r="H167" s="5"/>
      <c r="I167" s="3" t="str">
        <f aca="false">IF(H167="","",HYPERLINK("https://wa.me/55"&amp;SUBSTITUTE(SUBSTITUTE(SUBSTITUTE(SUBSTITUTE(H167,"(",""),")",""),"-","")," ",""),"Abrir"))</f>
        <v/>
      </c>
      <c r="J167" s="3"/>
      <c r="K167" s="5"/>
      <c r="L167" s="5"/>
      <c r="M167" s="6"/>
      <c r="N167" s="4" t="str">
        <f aca="false">IF(M167="","",WORKDAY(M167,3))</f>
        <v/>
      </c>
      <c r="O167" s="4" t="str">
        <f aca="false">IF(M167="","",WORKDAY(M167,7))</f>
        <v/>
      </c>
      <c r="P167" s="4" t="str">
        <f aca="false">IF(M167="","",WORKDAY(M167,30))</f>
        <v/>
      </c>
      <c r="Q167" s="4" t="str">
        <f aca="true">IF(M167="","",IF(OR(T167="Sim",COUNTIF({"FECHADO";"Perdido";"Descartado"},L167)&gt;0),"",IF(TODAY()&lt;N167,N167,IF(TODAY()&lt;O167,O167,IF(TODAY()&lt;=P167,P167,"")))))</f>
        <v/>
      </c>
      <c r="R167" s="3" t="str">
        <f aca="true">IF(C167="","",IF(COUNTIF({"FECHADO";"Perdido";"Descartado"},L167)&gt;0,"-",IF(M167="","INICIAR",IF(T167="Sim","RESPONDEU",IF(Q167="","ESGOTADO",IF(Q167&lt;TODAY(),"ATRASADO",IF(Q167=TODAY(),"HOJE","No prazo")))))))</f>
        <v/>
      </c>
      <c r="S167" s="3" t="str">
        <f aca="true">IF(M167="","",TODAY()-M167)</f>
        <v/>
      </c>
      <c r="T167" s="7"/>
      <c r="U167" s="8"/>
      <c r="V167" s="8"/>
      <c r="W167" s="8"/>
      <c r="X167" s="4"/>
      <c r="Y167" s="5"/>
    </row>
    <row r="168" customFormat="false" ht="15" hidden="false" customHeight="false" outlineLevel="0" collapsed="false">
      <c r="A168" s="9"/>
      <c r="B168" s="10"/>
      <c r="C168" s="5"/>
      <c r="D168" s="5"/>
      <c r="E168" s="5"/>
      <c r="F168" s="5"/>
      <c r="G168" s="5"/>
      <c r="H168" s="5"/>
      <c r="I168" s="9" t="str">
        <f aca="false">IF(H168="","",HYPERLINK("https://wa.me/55"&amp;SUBSTITUTE(SUBSTITUTE(SUBSTITUTE(SUBSTITUTE(H168,"(",""),")",""),"-","")," ",""),"Abrir"))</f>
        <v/>
      </c>
      <c r="J168" s="9"/>
      <c r="K168" s="5"/>
      <c r="L168" s="5"/>
      <c r="M168" s="6"/>
      <c r="N168" s="10" t="str">
        <f aca="false">IF(M168="","",WORKDAY(M168,3))</f>
        <v/>
      </c>
      <c r="O168" s="10" t="str">
        <f aca="false">IF(M168="","",WORKDAY(M168,7))</f>
        <v/>
      </c>
      <c r="P168" s="10" t="str">
        <f aca="false">IF(M168="","",WORKDAY(M168,30))</f>
        <v/>
      </c>
      <c r="Q168" s="10" t="str">
        <f aca="true">IF(M168="","",IF(OR(T168="Sim",COUNTIF({"FECHADO";"Perdido";"Descartado"},L168)&gt;0),"",IF(TODAY()&lt;N168,N168,IF(TODAY()&lt;O168,O168,IF(TODAY()&lt;=P168,P168,"")))))</f>
        <v/>
      </c>
      <c r="R168" s="9" t="str">
        <f aca="true">IF(C168="","",IF(COUNTIF({"FECHADO";"Perdido";"Descartado"},L168)&gt;0,"-",IF(M168="","INICIAR",IF(T168="Sim","RESPONDEU",IF(Q168="","ESGOTADO",IF(Q168&lt;TODAY(),"ATRASADO",IF(Q168=TODAY(),"HOJE","No prazo")))))))</f>
        <v/>
      </c>
      <c r="S168" s="9" t="str">
        <f aca="true">IF(M168="","",TODAY()-M168)</f>
        <v/>
      </c>
      <c r="T168" s="7"/>
      <c r="U168" s="11"/>
      <c r="V168" s="11"/>
      <c r="W168" s="11"/>
      <c r="X168" s="10"/>
      <c r="Y168" s="5"/>
    </row>
    <row r="169" customFormat="false" ht="15" hidden="false" customHeight="false" outlineLevel="0" collapsed="false">
      <c r="A169" s="3"/>
      <c r="B169" s="4"/>
      <c r="C169" s="5"/>
      <c r="D169" s="5"/>
      <c r="E169" s="5"/>
      <c r="F169" s="5"/>
      <c r="G169" s="5"/>
      <c r="H169" s="5"/>
      <c r="I169" s="3" t="str">
        <f aca="false">IF(H169="","",HYPERLINK("https://wa.me/55"&amp;SUBSTITUTE(SUBSTITUTE(SUBSTITUTE(SUBSTITUTE(H169,"(",""),")",""),"-","")," ",""),"Abrir"))</f>
        <v/>
      </c>
      <c r="J169" s="3"/>
      <c r="K169" s="5"/>
      <c r="L169" s="5"/>
      <c r="M169" s="6"/>
      <c r="N169" s="4" t="str">
        <f aca="false">IF(M169="","",WORKDAY(M169,3))</f>
        <v/>
      </c>
      <c r="O169" s="4" t="str">
        <f aca="false">IF(M169="","",WORKDAY(M169,7))</f>
        <v/>
      </c>
      <c r="P169" s="4" t="str">
        <f aca="false">IF(M169="","",WORKDAY(M169,30))</f>
        <v/>
      </c>
      <c r="Q169" s="4" t="str">
        <f aca="true">IF(M169="","",IF(OR(T169="Sim",COUNTIF({"FECHADO";"Perdido";"Descartado"},L169)&gt;0),"",IF(TODAY()&lt;N169,N169,IF(TODAY()&lt;O169,O169,IF(TODAY()&lt;=P169,P169,"")))))</f>
        <v/>
      </c>
      <c r="R169" s="3" t="str">
        <f aca="true">IF(C169="","",IF(COUNTIF({"FECHADO";"Perdido";"Descartado"},L169)&gt;0,"-",IF(M169="","INICIAR",IF(T169="Sim","RESPONDEU",IF(Q169="","ESGOTADO",IF(Q169&lt;TODAY(),"ATRASADO",IF(Q169=TODAY(),"HOJE","No prazo")))))))</f>
        <v/>
      </c>
      <c r="S169" s="3" t="str">
        <f aca="true">IF(M169="","",TODAY()-M169)</f>
        <v/>
      </c>
      <c r="T169" s="7"/>
      <c r="U169" s="8"/>
      <c r="V169" s="8"/>
      <c r="W169" s="8"/>
      <c r="X169" s="4"/>
      <c r="Y169" s="5"/>
    </row>
    <row r="170" customFormat="false" ht="15" hidden="false" customHeight="false" outlineLevel="0" collapsed="false">
      <c r="A170" s="9"/>
      <c r="B170" s="10"/>
      <c r="C170" s="5"/>
      <c r="D170" s="5"/>
      <c r="E170" s="5"/>
      <c r="F170" s="5"/>
      <c r="G170" s="5"/>
      <c r="H170" s="5"/>
      <c r="I170" s="9" t="str">
        <f aca="false">IF(H170="","",HYPERLINK("https://wa.me/55"&amp;SUBSTITUTE(SUBSTITUTE(SUBSTITUTE(SUBSTITUTE(H170,"(",""),")",""),"-","")," ",""),"Abrir"))</f>
        <v/>
      </c>
      <c r="J170" s="9"/>
      <c r="K170" s="5"/>
      <c r="L170" s="5"/>
      <c r="M170" s="6"/>
      <c r="N170" s="10" t="str">
        <f aca="false">IF(M170="","",WORKDAY(M170,3))</f>
        <v/>
      </c>
      <c r="O170" s="10" t="str">
        <f aca="false">IF(M170="","",WORKDAY(M170,7))</f>
        <v/>
      </c>
      <c r="P170" s="10" t="str">
        <f aca="false">IF(M170="","",WORKDAY(M170,30))</f>
        <v/>
      </c>
      <c r="Q170" s="10" t="str">
        <f aca="true">IF(M170="","",IF(OR(T170="Sim",COUNTIF({"FECHADO";"Perdido";"Descartado"},L170)&gt;0),"",IF(TODAY()&lt;N170,N170,IF(TODAY()&lt;O170,O170,IF(TODAY()&lt;=P170,P170,"")))))</f>
        <v/>
      </c>
      <c r="R170" s="9" t="str">
        <f aca="true">IF(C170="","",IF(COUNTIF({"FECHADO";"Perdido";"Descartado"},L170)&gt;0,"-",IF(M170="","INICIAR",IF(T170="Sim","RESPONDEU",IF(Q170="","ESGOTADO",IF(Q170&lt;TODAY(),"ATRASADO",IF(Q170=TODAY(),"HOJE","No prazo")))))))</f>
        <v/>
      </c>
      <c r="S170" s="9" t="str">
        <f aca="true">IF(M170="","",TODAY()-M170)</f>
        <v/>
      </c>
      <c r="T170" s="7"/>
      <c r="U170" s="11"/>
      <c r="V170" s="11"/>
      <c r="W170" s="11"/>
      <c r="X170" s="10"/>
      <c r="Y170" s="5"/>
    </row>
    <row r="171" customFormat="false" ht="15" hidden="false" customHeight="false" outlineLevel="0" collapsed="false">
      <c r="A171" s="3"/>
      <c r="B171" s="4"/>
      <c r="C171" s="5"/>
      <c r="D171" s="5"/>
      <c r="E171" s="5"/>
      <c r="F171" s="5"/>
      <c r="G171" s="5"/>
      <c r="H171" s="5"/>
      <c r="I171" s="3" t="str">
        <f aca="false">IF(H171="","",HYPERLINK("https://wa.me/55"&amp;SUBSTITUTE(SUBSTITUTE(SUBSTITUTE(SUBSTITUTE(H171,"(",""),")",""),"-","")," ",""),"Abrir"))</f>
        <v/>
      </c>
      <c r="J171" s="3"/>
      <c r="K171" s="5"/>
      <c r="L171" s="5"/>
      <c r="M171" s="6"/>
      <c r="N171" s="4" t="str">
        <f aca="false">IF(M171="","",WORKDAY(M171,3))</f>
        <v/>
      </c>
      <c r="O171" s="4" t="str">
        <f aca="false">IF(M171="","",WORKDAY(M171,7))</f>
        <v/>
      </c>
      <c r="P171" s="4" t="str">
        <f aca="false">IF(M171="","",WORKDAY(M171,30))</f>
        <v/>
      </c>
      <c r="Q171" s="4" t="str">
        <f aca="true">IF(M171="","",IF(OR(T171="Sim",COUNTIF({"FECHADO";"Perdido";"Descartado"},L171)&gt;0),"",IF(TODAY()&lt;N171,N171,IF(TODAY()&lt;O171,O171,IF(TODAY()&lt;=P171,P171,"")))))</f>
        <v/>
      </c>
      <c r="R171" s="3" t="str">
        <f aca="true">IF(C171="","",IF(COUNTIF({"FECHADO";"Perdido";"Descartado"},L171)&gt;0,"-",IF(M171="","INICIAR",IF(T171="Sim","RESPONDEU",IF(Q171="","ESGOTADO",IF(Q171&lt;TODAY(),"ATRASADO",IF(Q171=TODAY(),"HOJE","No prazo")))))))</f>
        <v/>
      </c>
      <c r="S171" s="3" t="str">
        <f aca="true">IF(M171="","",TODAY()-M171)</f>
        <v/>
      </c>
      <c r="T171" s="7"/>
      <c r="U171" s="8"/>
      <c r="V171" s="8"/>
      <c r="W171" s="8"/>
      <c r="X171" s="4"/>
      <c r="Y171" s="5"/>
    </row>
    <row r="172" customFormat="false" ht="15" hidden="false" customHeight="false" outlineLevel="0" collapsed="false">
      <c r="A172" s="9"/>
      <c r="B172" s="10"/>
      <c r="C172" s="5"/>
      <c r="D172" s="5"/>
      <c r="E172" s="5"/>
      <c r="F172" s="5"/>
      <c r="G172" s="5"/>
      <c r="H172" s="5"/>
      <c r="I172" s="9" t="str">
        <f aca="false">IF(H172="","",HYPERLINK("https://wa.me/55"&amp;SUBSTITUTE(SUBSTITUTE(SUBSTITUTE(SUBSTITUTE(H172,"(",""),")",""),"-","")," ",""),"Abrir"))</f>
        <v/>
      </c>
      <c r="J172" s="9"/>
      <c r="K172" s="5"/>
      <c r="L172" s="5"/>
      <c r="M172" s="6"/>
      <c r="N172" s="10" t="str">
        <f aca="false">IF(M172="","",WORKDAY(M172,3))</f>
        <v/>
      </c>
      <c r="O172" s="10" t="str">
        <f aca="false">IF(M172="","",WORKDAY(M172,7))</f>
        <v/>
      </c>
      <c r="P172" s="10" t="str">
        <f aca="false">IF(M172="","",WORKDAY(M172,30))</f>
        <v/>
      </c>
      <c r="Q172" s="10" t="str">
        <f aca="true">IF(M172="","",IF(OR(T172="Sim",COUNTIF({"FECHADO";"Perdido";"Descartado"},L172)&gt;0),"",IF(TODAY()&lt;N172,N172,IF(TODAY()&lt;O172,O172,IF(TODAY()&lt;=P172,P172,"")))))</f>
        <v/>
      </c>
      <c r="R172" s="9" t="str">
        <f aca="true">IF(C172="","",IF(COUNTIF({"FECHADO";"Perdido";"Descartado"},L172)&gt;0,"-",IF(M172="","INICIAR",IF(T172="Sim","RESPONDEU",IF(Q172="","ESGOTADO",IF(Q172&lt;TODAY(),"ATRASADO",IF(Q172=TODAY(),"HOJE","No prazo")))))))</f>
        <v/>
      </c>
      <c r="S172" s="9" t="str">
        <f aca="true">IF(M172="","",TODAY()-M172)</f>
        <v/>
      </c>
      <c r="T172" s="7"/>
      <c r="U172" s="11"/>
      <c r="V172" s="11"/>
      <c r="W172" s="11"/>
      <c r="X172" s="10"/>
      <c r="Y172" s="5"/>
    </row>
    <row r="173" customFormat="false" ht="15" hidden="false" customHeight="false" outlineLevel="0" collapsed="false">
      <c r="A173" s="3"/>
      <c r="B173" s="4"/>
      <c r="C173" s="5"/>
      <c r="D173" s="5"/>
      <c r="E173" s="5"/>
      <c r="F173" s="5"/>
      <c r="G173" s="5"/>
      <c r="H173" s="5"/>
      <c r="I173" s="3" t="str">
        <f aca="false">IF(H173="","",HYPERLINK("https://wa.me/55"&amp;SUBSTITUTE(SUBSTITUTE(SUBSTITUTE(SUBSTITUTE(H173,"(",""),")",""),"-","")," ",""),"Abrir"))</f>
        <v/>
      </c>
      <c r="J173" s="3"/>
      <c r="K173" s="5"/>
      <c r="L173" s="5"/>
      <c r="M173" s="6"/>
      <c r="N173" s="4" t="str">
        <f aca="false">IF(M173="","",WORKDAY(M173,3))</f>
        <v/>
      </c>
      <c r="O173" s="4" t="str">
        <f aca="false">IF(M173="","",WORKDAY(M173,7))</f>
        <v/>
      </c>
      <c r="P173" s="4" t="str">
        <f aca="false">IF(M173="","",WORKDAY(M173,30))</f>
        <v/>
      </c>
      <c r="Q173" s="4" t="str">
        <f aca="true">IF(M173="","",IF(OR(T173="Sim",COUNTIF({"FECHADO";"Perdido";"Descartado"},L173)&gt;0),"",IF(TODAY()&lt;N173,N173,IF(TODAY()&lt;O173,O173,IF(TODAY()&lt;=P173,P173,"")))))</f>
        <v/>
      </c>
      <c r="R173" s="3" t="str">
        <f aca="true">IF(C173="","",IF(COUNTIF({"FECHADO";"Perdido";"Descartado"},L173)&gt;0,"-",IF(M173="","INICIAR",IF(T173="Sim","RESPONDEU",IF(Q173="","ESGOTADO",IF(Q173&lt;TODAY(),"ATRASADO",IF(Q173=TODAY(),"HOJE","No prazo")))))))</f>
        <v/>
      </c>
      <c r="S173" s="3" t="str">
        <f aca="true">IF(M173="","",TODAY()-M173)</f>
        <v/>
      </c>
      <c r="T173" s="7"/>
      <c r="U173" s="8"/>
      <c r="V173" s="8"/>
      <c r="W173" s="8"/>
      <c r="X173" s="4"/>
      <c r="Y173" s="5"/>
    </row>
    <row r="174" customFormat="false" ht="15" hidden="false" customHeight="false" outlineLevel="0" collapsed="false">
      <c r="A174" s="9"/>
      <c r="B174" s="10"/>
      <c r="C174" s="5"/>
      <c r="D174" s="5"/>
      <c r="E174" s="5"/>
      <c r="F174" s="5"/>
      <c r="G174" s="5"/>
      <c r="H174" s="5"/>
      <c r="I174" s="9" t="str">
        <f aca="false">IF(H174="","",HYPERLINK("https://wa.me/55"&amp;SUBSTITUTE(SUBSTITUTE(SUBSTITUTE(SUBSTITUTE(H174,"(",""),")",""),"-","")," ",""),"Abrir"))</f>
        <v/>
      </c>
      <c r="J174" s="9"/>
      <c r="K174" s="5"/>
      <c r="L174" s="5"/>
      <c r="M174" s="6"/>
      <c r="N174" s="10" t="str">
        <f aca="false">IF(M174="","",WORKDAY(M174,3))</f>
        <v/>
      </c>
      <c r="O174" s="10" t="str">
        <f aca="false">IF(M174="","",WORKDAY(M174,7))</f>
        <v/>
      </c>
      <c r="P174" s="10" t="str">
        <f aca="false">IF(M174="","",WORKDAY(M174,30))</f>
        <v/>
      </c>
      <c r="Q174" s="10" t="str">
        <f aca="true">IF(M174="","",IF(OR(T174="Sim",COUNTIF({"FECHADO";"Perdido";"Descartado"},L174)&gt;0),"",IF(TODAY()&lt;N174,N174,IF(TODAY()&lt;O174,O174,IF(TODAY()&lt;=P174,P174,"")))))</f>
        <v/>
      </c>
      <c r="R174" s="9" t="str">
        <f aca="true">IF(C174="","",IF(COUNTIF({"FECHADO";"Perdido";"Descartado"},L174)&gt;0,"-",IF(M174="","INICIAR",IF(T174="Sim","RESPONDEU",IF(Q174="","ESGOTADO",IF(Q174&lt;TODAY(),"ATRASADO",IF(Q174=TODAY(),"HOJE","No prazo")))))))</f>
        <v/>
      </c>
      <c r="S174" s="9" t="str">
        <f aca="true">IF(M174="","",TODAY()-M174)</f>
        <v/>
      </c>
      <c r="T174" s="7"/>
      <c r="U174" s="11"/>
      <c r="V174" s="11"/>
      <c r="W174" s="11"/>
      <c r="X174" s="10"/>
      <c r="Y174" s="5"/>
    </row>
    <row r="175" customFormat="false" ht="15" hidden="false" customHeight="false" outlineLevel="0" collapsed="false">
      <c r="A175" s="3"/>
      <c r="B175" s="4"/>
      <c r="C175" s="5"/>
      <c r="D175" s="5"/>
      <c r="E175" s="5"/>
      <c r="F175" s="5"/>
      <c r="G175" s="5"/>
      <c r="H175" s="5"/>
      <c r="I175" s="3" t="str">
        <f aca="false">IF(H175="","",HYPERLINK("https://wa.me/55"&amp;SUBSTITUTE(SUBSTITUTE(SUBSTITUTE(SUBSTITUTE(H175,"(",""),")",""),"-","")," ",""),"Abrir"))</f>
        <v/>
      </c>
      <c r="J175" s="3"/>
      <c r="K175" s="5"/>
      <c r="L175" s="5"/>
      <c r="M175" s="6"/>
      <c r="N175" s="4" t="str">
        <f aca="false">IF(M175="","",WORKDAY(M175,3))</f>
        <v/>
      </c>
      <c r="O175" s="4" t="str">
        <f aca="false">IF(M175="","",WORKDAY(M175,7))</f>
        <v/>
      </c>
      <c r="P175" s="4" t="str">
        <f aca="false">IF(M175="","",WORKDAY(M175,30))</f>
        <v/>
      </c>
      <c r="Q175" s="4" t="str">
        <f aca="true">IF(M175="","",IF(OR(T175="Sim",COUNTIF({"FECHADO";"Perdido";"Descartado"},L175)&gt;0),"",IF(TODAY()&lt;N175,N175,IF(TODAY()&lt;O175,O175,IF(TODAY()&lt;=P175,P175,"")))))</f>
        <v/>
      </c>
      <c r="R175" s="3" t="str">
        <f aca="true">IF(C175="","",IF(COUNTIF({"FECHADO";"Perdido";"Descartado"},L175)&gt;0,"-",IF(M175="","INICIAR",IF(T175="Sim","RESPONDEU",IF(Q175="","ESGOTADO",IF(Q175&lt;TODAY(),"ATRASADO",IF(Q175=TODAY(),"HOJE","No prazo")))))))</f>
        <v/>
      </c>
      <c r="S175" s="3" t="str">
        <f aca="true">IF(M175="","",TODAY()-M175)</f>
        <v/>
      </c>
      <c r="T175" s="7"/>
      <c r="U175" s="8"/>
      <c r="V175" s="8"/>
      <c r="W175" s="8"/>
      <c r="X175" s="4"/>
      <c r="Y175" s="5"/>
    </row>
    <row r="176" customFormat="false" ht="15" hidden="false" customHeight="false" outlineLevel="0" collapsed="false">
      <c r="A176" s="9"/>
      <c r="B176" s="10"/>
      <c r="C176" s="5"/>
      <c r="D176" s="5"/>
      <c r="E176" s="5"/>
      <c r="F176" s="5"/>
      <c r="G176" s="5"/>
      <c r="H176" s="5"/>
      <c r="I176" s="9" t="str">
        <f aca="false">IF(H176="","",HYPERLINK("https://wa.me/55"&amp;SUBSTITUTE(SUBSTITUTE(SUBSTITUTE(SUBSTITUTE(H176,"(",""),")",""),"-","")," ",""),"Abrir"))</f>
        <v/>
      </c>
      <c r="J176" s="9"/>
      <c r="K176" s="5"/>
      <c r="L176" s="5"/>
      <c r="M176" s="6"/>
      <c r="N176" s="10" t="str">
        <f aca="false">IF(M176="","",WORKDAY(M176,3))</f>
        <v/>
      </c>
      <c r="O176" s="10" t="str">
        <f aca="false">IF(M176="","",WORKDAY(M176,7))</f>
        <v/>
      </c>
      <c r="P176" s="10" t="str">
        <f aca="false">IF(M176="","",WORKDAY(M176,30))</f>
        <v/>
      </c>
      <c r="Q176" s="10" t="str">
        <f aca="true">IF(M176="","",IF(OR(T176="Sim",COUNTIF({"FECHADO";"Perdido";"Descartado"},L176)&gt;0),"",IF(TODAY()&lt;N176,N176,IF(TODAY()&lt;O176,O176,IF(TODAY()&lt;=P176,P176,"")))))</f>
        <v/>
      </c>
      <c r="R176" s="9" t="str">
        <f aca="true">IF(C176="","",IF(COUNTIF({"FECHADO";"Perdido";"Descartado"},L176)&gt;0,"-",IF(M176="","INICIAR",IF(T176="Sim","RESPONDEU",IF(Q176="","ESGOTADO",IF(Q176&lt;TODAY(),"ATRASADO",IF(Q176=TODAY(),"HOJE","No prazo")))))))</f>
        <v/>
      </c>
      <c r="S176" s="9" t="str">
        <f aca="true">IF(M176="","",TODAY()-M176)</f>
        <v/>
      </c>
      <c r="T176" s="7"/>
      <c r="U176" s="11"/>
      <c r="V176" s="11"/>
      <c r="W176" s="11"/>
      <c r="X176" s="10"/>
      <c r="Y176" s="5"/>
    </row>
    <row r="177" customFormat="false" ht="15" hidden="false" customHeight="false" outlineLevel="0" collapsed="false">
      <c r="A177" s="3"/>
      <c r="B177" s="4"/>
      <c r="C177" s="5"/>
      <c r="D177" s="5"/>
      <c r="E177" s="5"/>
      <c r="F177" s="5"/>
      <c r="G177" s="5"/>
      <c r="H177" s="5"/>
      <c r="I177" s="3" t="str">
        <f aca="false">IF(H177="","",HYPERLINK("https://wa.me/55"&amp;SUBSTITUTE(SUBSTITUTE(SUBSTITUTE(SUBSTITUTE(H177,"(",""),")",""),"-","")," ",""),"Abrir"))</f>
        <v/>
      </c>
      <c r="J177" s="3"/>
      <c r="K177" s="5"/>
      <c r="L177" s="5"/>
      <c r="M177" s="6"/>
      <c r="N177" s="4" t="str">
        <f aca="false">IF(M177="","",WORKDAY(M177,3))</f>
        <v/>
      </c>
      <c r="O177" s="4" t="str">
        <f aca="false">IF(M177="","",WORKDAY(M177,7))</f>
        <v/>
      </c>
      <c r="P177" s="4" t="str">
        <f aca="false">IF(M177="","",WORKDAY(M177,30))</f>
        <v/>
      </c>
      <c r="Q177" s="4" t="str">
        <f aca="true">IF(M177="","",IF(OR(T177="Sim",COUNTIF({"FECHADO";"Perdido";"Descartado"},L177)&gt;0),"",IF(TODAY()&lt;N177,N177,IF(TODAY()&lt;O177,O177,IF(TODAY()&lt;=P177,P177,"")))))</f>
        <v/>
      </c>
      <c r="R177" s="3" t="str">
        <f aca="true">IF(C177="","",IF(COUNTIF({"FECHADO";"Perdido";"Descartado"},L177)&gt;0,"-",IF(M177="","INICIAR",IF(T177="Sim","RESPONDEU",IF(Q177="","ESGOTADO",IF(Q177&lt;TODAY(),"ATRASADO",IF(Q177=TODAY(),"HOJE","No prazo")))))))</f>
        <v/>
      </c>
      <c r="S177" s="3" t="str">
        <f aca="true">IF(M177="","",TODAY()-M177)</f>
        <v/>
      </c>
      <c r="T177" s="7"/>
      <c r="U177" s="8"/>
      <c r="V177" s="8"/>
      <c r="W177" s="8"/>
      <c r="X177" s="4"/>
      <c r="Y177" s="5"/>
    </row>
    <row r="178" customFormat="false" ht="15" hidden="false" customHeight="false" outlineLevel="0" collapsed="false">
      <c r="A178" s="9"/>
      <c r="B178" s="10"/>
      <c r="C178" s="5"/>
      <c r="D178" s="5"/>
      <c r="E178" s="5"/>
      <c r="F178" s="5"/>
      <c r="G178" s="5"/>
      <c r="H178" s="5"/>
      <c r="I178" s="9" t="str">
        <f aca="false">IF(H178="","",HYPERLINK("https://wa.me/55"&amp;SUBSTITUTE(SUBSTITUTE(SUBSTITUTE(SUBSTITUTE(H178,"(",""),")",""),"-","")," ",""),"Abrir"))</f>
        <v/>
      </c>
      <c r="J178" s="9"/>
      <c r="K178" s="5"/>
      <c r="L178" s="5"/>
      <c r="M178" s="6"/>
      <c r="N178" s="10" t="str">
        <f aca="false">IF(M178="","",WORKDAY(M178,3))</f>
        <v/>
      </c>
      <c r="O178" s="10" t="str">
        <f aca="false">IF(M178="","",WORKDAY(M178,7))</f>
        <v/>
      </c>
      <c r="P178" s="10" t="str">
        <f aca="false">IF(M178="","",WORKDAY(M178,30))</f>
        <v/>
      </c>
      <c r="Q178" s="10" t="str">
        <f aca="true">IF(M178="","",IF(OR(T178="Sim",COUNTIF({"FECHADO";"Perdido";"Descartado"},L178)&gt;0),"",IF(TODAY()&lt;N178,N178,IF(TODAY()&lt;O178,O178,IF(TODAY()&lt;=P178,P178,"")))))</f>
        <v/>
      </c>
      <c r="R178" s="9" t="str">
        <f aca="true">IF(C178="","",IF(COUNTIF({"FECHADO";"Perdido";"Descartado"},L178)&gt;0,"-",IF(M178="","INICIAR",IF(T178="Sim","RESPONDEU",IF(Q178="","ESGOTADO",IF(Q178&lt;TODAY(),"ATRASADO",IF(Q178=TODAY(),"HOJE","No prazo")))))))</f>
        <v/>
      </c>
      <c r="S178" s="9" t="str">
        <f aca="true">IF(M178="","",TODAY()-M178)</f>
        <v/>
      </c>
      <c r="T178" s="7"/>
      <c r="U178" s="11"/>
      <c r="V178" s="11"/>
      <c r="W178" s="11"/>
      <c r="X178" s="10"/>
      <c r="Y178" s="5"/>
    </row>
    <row r="179" customFormat="false" ht="15" hidden="false" customHeight="false" outlineLevel="0" collapsed="false">
      <c r="A179" s="3"/>
      <c r="B179" s="4"/>
      <c r="C179" s="5"/>
      <c r="D179" s="5"/>
      <c r="E179" s="5"/>
      <c r="F179" s="5"/>
      <c r="G179" s="5"/>
      <c r="H179" s="5"/>
      <c r="I179" s="3" t="str">
        <f aca="false">IF(H179="","",HYPERLINK("https://wa.me/55"&amp;SUBSTITUTE(SUBSTITUTE(SUBSTITUTE(SUBSTITUTE(H179,"(",""),")",""),"-","")," ",""),"Abrir"))</f>
        <v/>
      </c>
      <c r="J179" s="3"/>
      <c r="K179" s="5"/>
      <c r="L179" s="5"/>
      <c r="M179" s="6"/>
      <c r="N179" s="4" t="str">
        <f aca="false">IF(M179="","",WORKDAY(M179,3))</f>
        <v/>
      </c>
      <c r="O179" s="4" t="str">
        <f aca="false">IF(M179="","",WORKDAY(M179,7))</f>
        <v/>
      </c>
      <c r="P179" s="4" t="str">
        <f aca="false">IF(M179="","",WORKDAY(M179,30))</f>
        <v/>
      </c>
      <c r="Q179" s="4" t="str">
        <f aca="true">IF(M179="","",IF(OR(T179="Sim",COUNTIF({"FECHADO";"Perdido";"Descartado"},L179)&gt;0),"",IF(TODAY()&lt;N179,N179,IF(TODAY()&lt;O179,O179,IF(TODAY()&lt;=P179,P179,"")))))</f>
        <v/>
      </c>
      <c r="R179" s="3" t="str">
        <f aca="true">IF(C179="","",IF(COUNTIF({"FECHADO";"Perdido";"Descartado"},L179)&gt;0,"-",IF(M179="","INICIAR",IF(T179="Sim","RESPONDEU",IF(Q179="","ESGOTADO",IF(Q179&lt;TODAY(),"ATRASADO",IF(Q179=TODAY(),"HOJE","No prazo")))))))</f>
        <v/>
      </c>
      <c r="S179" s="3" t="str">
        <f aca="true">IF(M179="","",TODAY()-M179)</f>
        <v/>
      </c>
      <c r="T179" s="7"/>
      <c r="U179" s="8"/>
      <c r="V179" s="8"/>
      <c r="W179" s="8"/>
      <c r="X179" s="4"/>
      <c r="Y179" s="5"/>
    </row>
    <row r="180" customFormat="false" ht="15" hidden="false" customHeight="false" outlineLevel="0" collapsed="false">
      <c r="A180" s="9"/>
      <c r="B180" s="10"/>
      <c r="C180" s="5"/>
      <c r="D180" s="5"/>
      <c r="E180" s="5"/>
      <c r="F180" s="5"/>
      <c r="G180" s="5"/>
      <c r="H180" s="5"/>
      <c r="I180" s="9" t="str">
        <f aca="false">IF(H180="","",HYPERLINK("https://wa.me/55"&amp;SUBSTITUTE(SUBSTITUTE(SUBSTITUTE(SUBSTITUTE(H180,"(",""),")",""),"-","")," ",""),"Abrir"))</f>
        <v/>
      </c>
      <c r="J180" s="9"/>
      <c r="K180" s="5"/>
      <c r="L180" s="5"/>
      <c r="M180" s="6"/>
      <c r="N180" s="10" t="str">
        <f aca="false">IF(M180="","",WORKDAY(M180,3))</f>
        <v/>
      </c>
      <c r="O180" s="10" t="str">
        <f aca="false">IF(M180="","",WORKDAY(M180,7))</f>
        <v/>
      </c>
      <c r="P180" s="10" t="str">
        <f aca="false">IF(M180="","",WORKDAY(M180,30))</f>
        <v/>
      </c>
      <c r="Q180" s="10" t="str">
        <f aca="true">IF(M180="","",IF(OR(T180="Sim",COUNTIF({"FECHADO";"Perdido";"Descartado"},L180)&gt;0),"",IF(TODAY()&lt;N180,N180,IF(TODAY()&lt;O180,O180,IF(TODAY()&lt;=P180,P180,"")))))</f>
        <v/>
      </c>
      <c r="R180" s="9" t="str">
        <f aca="true">IF(C180="","",IF(COUNTIF({"FECHADO";"Perdido";"Descartado"},L180)&gt;0,"-",IF(M180="","INICIAR",IF(T180="Sim","RESPONDEU",IF(Q180="","ESGOTADO",IF(Q180&lt;TODAY(),"ATRASADO",IF(Q180=TODAY(),"HOJE","No prazo")))))))</f>
        <v/>
      </c>
      <c r="S180" s="9" t="str">
        <f aca="true">IF(M180="","",TODAY()-M180)</f>
        <v/>
      </c>
      <c r="T180" s="7"/>
      <c r="U180" s="11"/>
      <c r="V180" s="11"/>
      <c r="W180" s="11"/>
      <c r="X180" s="10"/>
      <c r="Y180" s="5"/>
    </row>
    <row r="181" customFormat="false" ht="15" hidden="false" customHeight="false" outlineLevel="0" collapsed="false">
      <c r="A181" s="3"/>
      <c r="B181" s="4"/>
      <c r="C181" s="5"/>
      <c r="D181" s="5"/>
      <c r="E181" s="5"/>
      <c r="F181" s="5"/>
      <c r="G181" s="5"/>
      <c r="H181" s="5"/>
      <c r="I181" s="3" t="str">
        <f aca="false">IF(H181="","",HYPERLINK("https://wa.me/55"&amp;SUBSTITUTE(SUBSTITUTE(SUBSTITUTE(SUBSTITUTE(H181,"(",""),")",""),"-","")," ",""),"Abrir"))</f>
        <v/>
      </c>
      <c r="J181" s="3"/>
      <c r="K181" s="5"/>
      <c r="L181" s="5"/>
      <c r="M181" s="6"/>
      <c r="N181" s="4" t="str">
        <f aca="false">IF(M181="","",WORKDAY(M181,3))</f>
        <v/>
      </c>
      <c r="O181" s="4" t="str">
        <f aca="false">IF(M181="","",WORKDAY(M181,7))</f>
        <v/>
      </c>
      <c r="P181" s="4" t="str">
        <f aca="false">IF(M181="","",WORKDAY(M181,30))</f>
        <v/>
      </c>
      <c r="Q181" s="4" t="str">
        <f aca="true">IF(M181="","",IF(OR(T181="Sim",COUNTIF({"FECHADO";"Perdido";"Descartado"},L181)&gt;0),"",IF(TODAY()&lt;N181,N181,IF(TODAY()&lt;O181,O181,IF(TODAY()&lt;=P181,P181,"")))))</f>
        <v/>
      </c>
      <c r="R181" s="3" t="str">
        <f aca="true">IF(C181="","",IF(COUNTIF({"FECHADO";"Perdido";"Descartado"},L181)&gt;0,"-",IF(M181="","INICIAR",IF(T181="Sim","RESPONDEU",IF(Q181="","ESGOTADO",IF(Q181&lt;TODAY(),"ATRASADO",IF(Q181=TODAY(),"HOJE","No prazo")))))))</f>
        <v/>
      </c>
      <c r="S181" s="3" t="str">
        <f aca="true">IF(M181="","",TODAY()-M181)</f>
        <v/>
      </c>
      <c r="T181" s="7"/>
      <c r="U181" s="8"/>
      <c r="V181" s="8"/>
      <c r="W181" s="8"/>
      <c r="X181" s="4"/>
      <c r="Y181" s="5"/>
    </row>
    <row r="182" customFormat="false" ht="15" hidden="false" customHeight="false" outlineLevel="0" collapsed="false">
      <c r="A182" s="9"/>
      <c r="B182" s="10"/>
      <c r="C182" s="5"/>
      <c r="D182" s="5"/>
      <c r="E182" s="5"/>
      <c r="F182" s="5"/>
      <c r="G182" s="5"/>
      <c r="H182" s="5"/>
      <c r="I182" s="9" t="str">
        <f aca="false">IF(H182="","",HYPERLINK("https://wa.me/55"&amp;SUBSTITUTE(SUBSTITUTE(SUBSTITUTE(SUBSTITUTE(H182,"(",""),")",""),"-","")," ",""),"Abrir"))</f>
        <v/>
      </c>
      <c r="J182" s="9"/>
      <c r="K182" s="5"/>
      <c r="L182" s="5"/>
      <c r="M182" s="6"/>
      <c r="N182" s="10" t="str">
        <f aca="false">IF(M182="","",WORKDAY(M182,3))</f>
        <v/>
      </c>
      <c r="O182" s="10" t="str">
        <f aca="false">IF(M182="","",WORKDAY(M182,7))</f>
        <v/>
      </c>
      <c r="P182" s="10" t="str">
        <f aca="false">IF(M182="","",WORKDAY(M182,30))</f>
        <v/>
      </c>
      <c r="Q182" s="10" t="str">
        <f aca="true">IF(M182="","",IF(OR(T182="Sim",COUNTIF({"FECHADO";"Perdido";"Descartado"},L182)&gt;0),"",IF(TODAY()&lt;N182,N182,IF(TODAY()&lt;O182,O182,IF(TODAY()&lt;=P182,P182,"")))))</f>
        <v/>
      </c>
      <c r="R182" s="9" t="str">
        <f aca="true">IF(C182="","",IF(COUNTIF({"FECHADO";"Perdido";"Descartado"},L182)&gt;0,"-",IF(M182="","INICIAR",IF(T182="Sim","RESPONDEU",IF(Q182="","ESGOTADO",IF(Q182&lt;TODAY(),"ATRASADO",IF(Q182=TODAY(),"HOJE","No prazo")))))))</f>
        <v/>
      </c>
      <c r="S182" s="9" t="str">
        <f aca="true">IF(M182="","",TODAY()-M182)</f>
        <v/>
      </c>
      <c r="T182" s="7"/>
      <c r="U182" s="11"/>
      <c r="V182" s="11"/>
      <c r="W182" s="11"/>
      <c r="X182" s="10"/>
      <c r="Y182" s="5"/>
    </row>
    <row r="183" customFormat="false" ht="15" hidden="false" customHeight="false" outlineLevel="0" collapsed="false">
      <c r="A183" s="3"/>
      <c r="B183" s="4"/>
      <c r="C183" s="5"/>
      <c r="D183" s="5"/>
      <c r="E183" s="5"/>
      <c r="F183" s="5"/>
      <c r="G183" s="5"/>
      <c r="H183" s="5"/>
      <c r="I183" s="3" t="str">
        <f aca="false">IF(H183="","",HYPERLINK("https://wa.me/55"&amp;SUBSTITUTE(SUBSTITUTE(SUBSTITUTE(SUBSTITUTE(H183,"(",""),")",""),"-","")," ",""),"Abrir"))</f>
        <v/>
      </c>
      <c r="J183" s="3"/>
      <c r="K183" s="5"/>
      <c r="L183" s="5"/>
      <c r="M183" s="6"/>
      <c r="N183" s="4" t="str">
        <f aca="false">IF(M183="","",WORKDAY(M183,3))</f>
        <v/>
      </c>
      <c r="O183" s="4" t="str">
        <f aca="false">IF(M183="","",WORKDAY(M183,7))</f>
        <v/>
      </c>
      <c r="P183" s="4" t="str">
        <f aca="false">IF(M183="","",WORKDAY(M183,30))</f>
        <v/>
      </c>
      <c r="Q183" s="4" t="str">
        <f aca="true">IF(M183="","",IF(OR(T183="Sim",COUNTIF({"FECHADO";"Perdido";"Descartado"},L183)&gt;0),"",IF(TODAY()&lt;N183,N183,IF(TODAY()&lt;O183,O183,IF(TODAY()&lt;=P183,P183,"")))))</f>
        <v/>
      </c>
      <c r="R183" s="3" t="str">
        <f aca="true">IF(C183="","",IF(COUNTIF({"FECHADO";"Perdido";"Descartado"},L183)&gt;0,"-",IF(M183="","INICIAR",IF(T183="Sim","RESPONDEU",IF(Q183="","ESGOTADO",IF(Q183&lt;TODAY(),"ATRASADO",IF(Q183=TODAY(),"HOJE","No prazo")))))))</f>
        <v/>
      </c>
      <c r="S183" s="3" t="str">
        <f aca="true">IF(M183="","",TODAY()-M183)</f>
        <v/>
      </c>
      <c r="T183" s="7"/>
      <c r="U183" s="8"/>
      <c r="V183" s="8"/>
      <c r="W183" s="8"/>
      <c r="X183" s="4"/>
      <c r="Y183" s="5"/>
    </row>
    <row r="184" customFormat="false" ht="15" hidden="false" customHeight="false" outlineLevel="0" collapsed="false">
      <c r="A184" s="9"/>
      <c r="B184" s="10"/>
      <c r="C184" s="5"/>
      <c r="D184" s="5"/>
      <c r="E184" s="5"/>
      <c r="F184" s="5"/>
      <c r="G184" s="5"/>
      <c r="H184" s="5"/>
      <c r="I184" s="9" t="str">
        <f aca="false">IF(H184="","",HYPERLINK("https://wa.me/55"&amp;SUBSTITUTE(SUBSTITUTE(SUBSTITUTE(SUBSTITUTE(H184,"(",""),")",""),"-","")," ",""),"Abrir"))</f>
        <v/>
      </c>
      <c r="J184" s="9"/>
      <c r="K184" s="5"/>
      <c r="L184" s="5"/>
      <c r="M184" s="6"/>
      <c r="N184" s="10" t="str">
        <f aca="false">IF(M184="","",WORKDAY(M184,3))</f>
        <v/>
      </c>
      <c r="O184" s="10" t="str">
        <f aca="false">IF(M184="","",WORKDAY(M184,7))</f>
        <v/>
      </c>
      <c r="P184" s="10" t="str">
        <f aca="false">IF(M184="","",WORKDAY(M184,30))</f>
        <v/>
      </c>
      <c r="Q184" s="10" t="str">
        <f aca="true">IF(M184="","",IF(OR(T184="Sim",COUNTIF({"FECHADO";"Perdido";"Descartado"},L184)&gt;0),"",IF(TODAY()&lt;N184,N184,IF(TODAY()&lt;O184,O184,IF(TODAY()&lt;=P184,P184,"")))))</f>
        <v/>
      </c>
      <c r="R184" s="9" t="str">
        <f aca="true">IF(C184="","",IF(COUNTIF({"FECHADO";"Perdido";"Descartado"},L184)&gt;0,"-",IF(M184="","INICIAR",IF(T184="Sim","RESPONDEU",IF(Q184="","ESGOTADO",IF(Q184&lt;TODAY(),"ATRASADO",IF(Q184=TODAY(),"HOJE","No prazo")))))))</f>
        <v/>
      </c>
      <c r="S184" s="9" t="str">
        <f aca="true">IF(M184="","",TODAY()-M184)</f>
        <v/>
      </c>
      <c r="T184" s="7"/>
      <c r="U184" s="11"/>
      <c r="V184" s="11"/>
      <c r="W184" s="11"/>
      <c r="X184" s="10"/>
      <c r="Y184" s="5"/>
    </row>
    <row r="185" customFormat="false" ht="15" hidden="false" customHeight="false" outlineLevel="0" collapsed="false">
      <c r="A185" s="3"/>
      <c r="B185" s="4"/>
      <c r="C185" s="5"/>
      <c r="D185" s="5"/>
      <c r="E185" s="5"/>
      <c r="F185" s="5"/>
      <c r="G185" s="5"/>
      <c r="H185" s="5"/>
      <c r="I185" s="3" t="str">
        <f aca="false">IF(H185="","",HYPERLINK("https://wa.me/55"&amp;SUBSTITUTE(SUBSTITUTE(SUBSTITUTE(SUBSTITUTE(H185,"(",""),")",""),"-","")," ",""),"Abrir"))</f>
        <v/>
      </c>
      <c r="J185" s="3"/>
      <c r="K185" s="5"/>
      <c r="L185" s="5"/>
      <c r="M185" s="6"/>
      <c r="N185" s="4" t="str">
        <f aca="false">IF(M185="","",WORKDAY(M185,3))</f>
        <v/>
      </c>
      <c r="O185" s="4" t="str">
        <f aca="false">IF(M185="","",WORKDAY(M185,7))</f>
        <v/>
      </c>
      <c r="P185" s="4" t="str">
        <f aca="false">IF(M185="","",WORKDAY(M185,30))</f>
        <v/>
      </c>
      <c r="Q185" s="4" t="str">
        <f aca="true">IF(M185="","",IF(OR(T185="Sim",COUNTIF({"FECHADO";"Perdido";"Descartado"},L185)&gt;0),"",IF(TODAY()&lt;N185,N185,IF(TODAY()&lt;O185,O185,IF(TODAY()&lt;=P185,P185,"")))))</f>
        <v/>
      </c>
      <c r="R185" s="3" t="str">
        <f aca="true">IF(C185="","",IF(COUNTIF({"FECHADO";"Perdido";"Descartado"},L185)&gt;0,"-",IF(M185="","INICIAR",IF(T185="Sim","RESPONDEU",IF(Q185="","ESGOTADO",IF(Q185&lt;TODAY(),"ATRASADO",IF(Q185=TODAY(),"HOJE","No prazo")))))))</f>
        <v/>
      </c>
      <c r="S185" s="3" t="str">
        <f aca="true">IF(M185="","",TODAY()-M185)</f>
        <v/>
      </c>
      <c r="T185" s="7"/>
      <c r="U185" s="8"/>
      <c r="V185" s="8"/>
      <c r="W185" s="8"/>
      <c r="X185" s="4"/>
      <c r="Y185" s="5"/>
    </row>
    <row r="186" customFormat="false" ht="15" hidden="false" customHeight="false" outlineLevel="0" collapsed="false">
      <c r="A186" s="9"/>
      <c r="B186" s="10"/>
      <c r="C186" s="5"/>
      <c r="D186" s="5"/>
      <c r="E186" s="5"/>
      <c r="F186" s="5"/>
      <c r="G186" s="5"/>
      <c r="H186" s="5"/>
      <c r="I186" s="9" t="str">
        <f aca="false">IF(H186="","",HYPERLINK("https://wa.me/55"&amp;SUBSTITUTE(SUBSTITUTE(SUBSTITUTE(SUBSTITUTE(H186,"(",""),")",""),"-","")," ",""),"Abrir"))</f>
        <v/>
      </c>
      <c r="J186" s="9"/>
      <c r="K186" s="5"/>
      <c r="L186" s="5"/>
      <c r="M186" s="6"/>
      <c r="N186" s="10" t="str">
        <f aca="false">IF(M186="","",WORKDAY(M186,3))</f>
        <v/>
      </c>
      <c r="O186" s="10" t="str">
        <f aca="false">IF(M186="","",WORKDAY(M186,7))</f>
        <v/>
      </c>
      <c r="P186" s="10" t="str">
        <f aca="false">IF(M186="","",WORKDAY(M186,30))</f>
        <v/>
      </c>
      <c r="Q186" s="10" t="str">
        <f aca="true">IF(M186="","",IF(OR(T186="Sim",COUNTIF({"FECHADO";"Perdido";"Descartado"},L186)&gt;0),"",IF(TODAY()&lt;N186,N186,IF(TODAY()&lt;O186,O186,IF(TODAY()&lt;=P186,P186,"")))))</f>
        <v/>
      </c>
      <c r="R186" s="9" t="str">
        <f aca="true">IF(C186="","",IF(COUNTIF({"FECHADO";"Perdido";"Descartado"},L186)&gt;0,"-",IF(M186="","INICIAR",IF(T186="Sim","RESPONDEU",IF(Q186="","ESGOTADO",IF(Q186&lt;TODAY(),"ATRASADO",IF(Q186=TODAY(),"HOJE","No prazo")))))))</f>
        <v/>
      </c>
      <c r="S186" s="9" t="str">
        <f aca="true">IF(M186="","",TODAY()-M186)</f>
        <v/>
      </c>
      <c r="T186" s="7"/>
      <c r="U186" s="11"/>
      <c r="V186" s="11"/>
      <c r="W186" s="11"/>
      <c r="X186" s="10"/>
      <c r="Y186" s="5"/>
    </row>
    <row r="187" customFormat="false" ht="15" hidden="false" customHeight="false" outlineLevel="0" collapsed="false">
      <c r="A187" s="3"/>
      <c r="B187" s="4"/>
      <c r="C187" s="5"/>
      <c r="D187" s="5"/>
      <c r="E187" s="5"/>
      <c r="F187" s="5"/>
      <c r="G187" s="5"/>
      <c r="H187" s="5"/>
      <c r="I187" s="3" t="str">
        <f aca="false">IF(H187="","",HYPERLINK("https://wa.me/55"&amp;SUBSTITUTE(SUBSTITUTE(SUBSTITUTE(SUBSTITUTE(H187,"(",""),")",""),"-","")," ",""),"Abrir"))</f>
        <v/>
      </c>
      <c r="J187" s="3"/>
      <c r="K187" s="5"/>
      <c r="L187" s="5"/>
      <c r="M187" s="6"/>
      <c r="N187" s="4" t="str">
        <f aca="false">IF(M187="","",WORKDAY(M187,3))</f>
        <v/>
      </c>
      <c r="O187" s="4" t="str">
        <f aca="false">IF(M187="","",WORKDAY(M187,7))</f>
        <v/>
      </c>
      <c r="P187" s="4" t="str">
        <f aca="false">IF(M187="","",WORKDAY(M187,30))</f>
        <v/>
      </c>
      <c r="Q187" s="4" t="str">
        <f aca="true">IF(M187="","",IF(OR(T187="Sim",COUNTIF({"FECHADO";"Perdido";"Descartado"},L187)&gt;0),"",IF(TODAY()&lt;N187,N187,IF(TODAY()&lt;O187,O187,IF(TODAY()&lt;=P187,P187,"")))))</f>
        <v/>
      </c>
      <c r="R187" s="3" t="str">
        <f aca="true">IF(C187="","",IF(COUNTIF({"FECHADO";"Perdido";"Descartado"},L187)&gt;0,"-",IF(M187="","INICIAR",IF(T187="Sim","RESPONDEU",IF(Q187="","ESGOTADO",IF(Q187&lt;TODAY(),"ATRASADO",IF(Q187=TODAY(),"HOJE","No prazo")))))))</f>
        <v/>
      </c>
      <c r="S187" s="3" t="str">
        <f aca="true">IF(M187="","",TODAY()-M187)</f>
        <v/>
      </c>
      <c r="T187" s="7"/>
      <c r="U187" s="8"/>
      <c r="V187" s="8"/>
      <c r="W187" s="8"/>
      <c r="X187" s="4"/>
      <c r="Y187" s="5"/>
    </row>
    <row r="188" customFormat="false" ht="15" hidden="false" customHeight="false" outlineLevel="0" collapsed="false">
      <c r="A188" s="9"/>
      <c r="B188" s="10"/>
      <c r="C188" s="5"/>
      <c r="D188" s="5"/>
      <c r="E188" s="5"/>
      <c r="F188" s="5"/>
      <c r="G188" s="5"/>
      <c r="H188" s="5"/>
      <c r="I188" s="9" t="str">
        <f aca="false">IF(H188="","",HYPERLINK("https://wa.me/55"&amp;SUBSTITUTE(SUBSTITUTE(SUBSTITUTE(SUBSTITUTE(H188,"(",""),")",""),"-","")," ",""),"Abrir"))</f>
        <v/>
      </c>
      <c r="J188" s="9"/>
      <c r="K188" s="5"/>
      <c r="L188" s="5"/>
      <c r="M188" s="6"/>
      <c r="N188" s="10" t="str">
        <f aca="false">IF(M188="","",WORKDAY(M188,3))</f>
        <v/>
      </c>
      <c r="O188" s="10" t="str">
        <f aca="false">IF(M188="","",WORKDAY(M188,7))</f>
        <v/>
      </c>
      <c r="P188" s="10" t="str">
        <f aca="false">IF(M188="","",WORKDAY(M188,30))</f>
        <v/>
      </c>
      <c r="Q188" s="10" t="str">
        <f aca="true">IF(M188="","",IF(OR(T188="Sim",COUNTIF({"FECHADO";"Perdido";"Descartado"},L188)&gt;0),"",IF(TODAY()&lt;N188,N188,IF(TODAY()&lt;O188,O188,IF(TODAY()&lt;=P188,P188,"")))))</f>
        <v/>
      </c>
      <c r="R188" s="9" t="str">
        <f aca="true">IF(C188="","",IF(COUNTIF({"FECHADO";"Perdido";"Descartado"},L188)&gt;0,"-",IF(M188="","INICIAR",IF(T188="Sim","RESPONDEU",IF(Q188="","ESGOTADO",IF(Q188&lt;TODAY(),"ATRASADO",IF(Q188=TODAY(),"HOJE","No prazo")))))))</f>
        <v/>
      </c>
      <c r="S188" s="9" t="str">
        <f aca="true">IF(M188="","",TODAY()-M188)</f>
        <v/>
      </c>
      <c r="T188" s="7"/>
      <c r="U188" s="11"/>
      <c r="V188" s="11"/>
      <c r="W188" s="11"/>
      <c r="X188" s="10"/>
      <c r="Y188" s="5"/>
    </row>
    <row r="189" customFormat="false" ht="15" hidden="false" customHeight="false" outlineLevel="0" collapsed="false">
      <c r="A189" s="3"/>
      <c r="B189" s="4"/>
      <c r="C189" s="5"/>
      <c r="D189" s="5"/>
      <c r="E189" s="5"/>
      <c r="F189" s="5"/>
      <c r="G189" s="5"/>
      <c r="H189" s="5"/>
      <c r="I189" s="3" t="str">
        <f aca="false">IF(H189="","",HYPERLINK("https://wa.me/55"&amp;SUBSTITUTE(SUBSTITUTE(SUBSTITUTE(SUBSTITUTE(H189,"(",""),")",""),"-","")," ",""),"Abrir"))</f>
        <v/>
      </c>
      <c r="J189" s="3"/>
      <c r="K189" s="5"/>
      <c r="L189" s="5"/>
      <c r="M189" s="6"/>
      <c r="N189" s="4" t="str">
        <f aca="false">IF(M189="","",WORKDAY(M189,3))</f>
        <v/>
      </c>
      <c r="O189" s="4" t="str">
        <f aca="false">IF(M189="","",WORKDAY(M189,7))</f>
        <v/>
      </c>
      <c r="P189" s="4" t="str">
        <f aca="false">IF(M189="","",WORKDAY(M189,30))</f>
        <v/>
      </c>
      <c r="Q189" s="4" t="str">
        <f aca="true">IF(M189="","",IF(OR(T189="Sim",COUNTIF({"FECHADO";"Perdido";"Descartado"},L189)&gt;0),"",IF(TODAY()&lt;N189,N189,IF(TODAY()&lt;O189,O189,IF(TODAY()&lt;=P189,P189,"")))))</f>
        <v/>
      </c>
      <c r="R189" s="3" t="str">
        <f aca="true">IF(C189="","",IF(COUNTIF({"FECHADO";"Perdido";"Descartado"},L189)&gt;0,"-",IF(M189="","INICIAR",IF(T189="Sim","RESPONDEU",IF(Q189="","ESGOTADO",IF(Q189&lt;TODAY(),"ATRASADO",IF(Q189=TODAY(),"HOJE","No prazo")))))))</f>
        <v/>
      </c>
      <c r="S189" s="3" t="str">
        <f aca="true">IF(M189="","",TODAY()-M189)</f>
        <v/>
      </c>
      <c r="T189" s="7"/>
      <c r="U189" s="8"/>
      <c r="V189" s="8"/>
      <c r="W189" s="8"/>
      <c r="X189" s="4"/>
      <c r="Y189" s="5"/>
    </row>
    <row r="190" customFormat="false" ht="15" hidden="false" customHeight="false" outlineLevel="0" collapsed="false">
      <c r="A190" s="9"/>
      <c r="B190" s="10"/>
      <c r="C190" s="5"/>
      <c r="D190" s="5"/>
      <c r="E190" s="5"/>
      <c r="F190" s="5"/>
      <c r="G190" s="5"/>
      <c r="H190" s="5"/>
      <c r="I190" s="9" t="str">
        <f aca="false">IF(H190="","",HYPERLINK("https://wa.me/55"&amp;SUBSTITUTE(SUBSTITUTE(SUBSTITUTE(SUBSTITUTE(H190,"(",""),")",""),"-","")," ",""),"Abrir"))</f>
        <v/>
      </c>
      <c r="J190" s="9"/>
      <c r="K190" s="5"/>
      <c r="L190" s="5"/>
      <c r="M190" s="6"/>
      <c r="N190" s="10" t="str">
        <f aca="false">IF(M190="","",WORKDAY(M190,3))</f>
        <v/>
      </c>
      <c r="O190" s="10" t="str">
        <f aca="false">IF(M190="","",WORKDAY(M190,7))</f>
        <v/>
      </c>
      <c r="P190" s="10" t="str">
        <f aca="false">IF(M190="","",WORKDAY(M190,30))</f>
        <v/>
      </c>
      <c r="Q190" s="10" t="str">
        <f aca="true">IF(M190="","",IF(OR(T190="Sim",COUNTIF({"FECHADO";"Perdido";"Descartado"},L190)&gt;0),"",IF(TODAY()&lt;N190,N190,IF(TODAY()&lt;O190,O190,IF(TODAY()&lt;=P190,P190,"")))))</f>
        <v/>
      </c>
      <c r="R190" s="9" t="str">
        <f aca="true">IF(C190="","",IF(COUNTIF({"FECHADO";"Perdido";"Descartado"},L190)&gt;0,"-",IF(M190="","INICIAR",IF(T190="Sim","RESPONDEU",IF(Q190="","ESGOTADO",IF(Q190&lt;TODAY(),"ATRASADO",IF(Q190=TODAY(),"HOJE","No prazo")))))))</f>
        <v/>
      </c>
      <c r="S190" s="9" t="str">
        <f aca="true">IF(M190="","",TODAY()-M190)</f>
        <v/>
      </c>
      <c r="T190" s="7"/>
      <c r="U190" s="11"/>
      <c r="V190" s="11"/>
      <c r="W190" s="11"/>
      <c r="X190" s="10"/>
      <c r="Y190" s="5"/>
    </row>
    <row r="191" customFormat="false" ht="15" hidden="false" customHeight="false" outlineLevel="0" collapsed="false">
      <c r="A191" s="3"/>
      <c r="B191" s="4"/>
      <c r="C191" s="5"/>
      <c r="D191" s="5"/>
      <c r="E191" s="5"/>
      <c r="F191" s="5"/>
      <c r="G191" s="5"/>
      <c r="H191" s="5"/>
      <c r="I191" s="3" t="str">
        <f aca="false">IF(H191="","",HYPERLINK("https://wa.me/55"&amp;SUBSTITUTE(SUBSTITUTE(SUBSTITUTE(SUBSTITUTE(H191,"(",""),")",""),"-","")," ",""),"Abrir"))</f>
        <v/>
      </c>
      <c r="J191" s="3"/>
      <c r="K191" s="5"/>
      <c r="L191" s="5"/>
      <c r="M191" s="6"/>
      <c r="N191" s="4" t="str">
        <f aca="false">IF(M191="","",WORKDAY(M191,3))</f>
        <v/>
      </c>
      <c r="O191" s="4" t="str">
        <f aca="false">IF(M191="","",WORKDAY(M191,7))</f>
        <v/>
      </c>
      <c r="P191" s="4" t="str">
        <f aca="false">IF(M191="","",WORKDAY(M191,30))</f>
        <v/>
      </c>
      <c r="Q191" s="4" t="str">
        <f aca="true">IF(M191="","",IF(OR(T191="Sim",COUNTIF({"FECHADO";"Perdido";"Descartado"},L191)&gt;0),"",IF(TODAY()&lt;N191,N191,IF(TODAY()&lt;O191,O191,IF(TODAY()&lt;=P191,P191,"")))))</f>
        <v/>
      </c>
      <c r="R191" s="3" t="str">
        <f aca="true">IF(C191="","",IF(COUNTIF({"FECHADO";"Perdido";"Descartado"},L191)&gt;0,"-",IF(M191="","INICIAR",IF(T191="Sim","RESPONDEU",IF(Q191="","ESGOTADO",IF(Q191&lt;TODAY(),"ATRASADO",IF(Q191=TODAY(),"HOJE","No prazo")))))))</f>
        <v/>
      </c>
      <c r="S191" s="3" t="str">
        <f aca="true">IF(M191="","",TODAY()-M191)</f>
        <v/>
      </c>
      <c r="T191" s="7"/>
      <c r="U191" s="8"/>
      <c r="V191" s="8"/>
      <c r="W191" s="8"/>
      <c r="X191" s="4"/>
      <c r="Y191" s="5"/>
    </row>
    <row r="192" customFormat="false" ht="15" hidden="false" customHeight="false" outlineLevel="0" collapsed="false">
      <c r="A192" s="9"/>
      <c r="B192" s="10"/>
      <c r="C192" s="5"/>
      <c r="D192" s="5"/>
      <c r="E192" s="5"/>
      <c r="F192" s="5"/>
      <c r="G192" s="5"/>
      <c r="H192" s="5"/>
      <c r="I192" s="9" t="str">
        <f aca="false">IF(H192="","",HYPERLINK("https://wa.me/55"&amp;SUBSTITUTE(SUBSTITUTE(SUBSTITUTE(SUBSTITUTE(H192,"(",""),")",""),"-","")," ",""),"Abrir"))</f>
        <v/>
      </c>
      <c r="J192" s="9"/>
      <c r="K192" s="5"/>
      <c r="L192" s="5"/>
      <c r="M192" s="6"/>
      <c r="N192" s="10" t="str">
        <f aca="false">IF(M192="","",WORKDAY(M192,3))</f>
        <v/>
      </c>
      <c r="O192" s="10" t="str">
        <f aca="false">IF(M192="","",WORKDAY(M192,7))</f>
        <v/>
      </c>
      <c r="P192" s="10" t="str">
        <f aca="false">IF(M192="","",WORKDAY(M192,30))</f>
        <v/>
      </c>
      <c r="Q192" s="10" t="str">
        <f aca="true">IF(M192="","",IF(OR(T192="Sim",COUNTIF({"FECHADO";"Perdido";"Descartado"},L192)&gt;0),"",IF(TODAY()&lt;N192,N192,IF(TODAY()&lt;O192,O192,IF(TODAY()&lt;=P192,P192,"")))))</f>
        <v/>
      </c>
      <c r="R192" s="9" t="str">
        <f aca="true">IF(C192="","",IF(COUNTIF({"FECHADO";"Perdido";"Descartado"},L192)&gt;0,"-",IF(M192="","INICIAR",IF(T192="Sim","RESPONDEU",IF(Q192="","ESGOTADO",IF(Q192&lt;TODAY(),"ATRASADO",IF(Q192=TODAY(),"HOJE","No prazo")))))))</f>
        <v/>
      </c>
      <c r="S192" s="9" t="str">
        <f aca="true">IF(M192="","",TODAY()-M192)</f>
        <v/>
      </c>
      <c r="T192" s="7"/>
      <c r="U192" s="11"/>
      <c r="V192" s="11"/>
      <c r="W192" s="11"/>
      <c r="X192" s="10"/>
      <c r="Y192" s="5"/>
    </row>
    <row r="193" customFormat="false" ht="15" hidden="false" customHeight="false" outlineLevel="0" collapsed="false">
      <c r="A193" s="3"/>
      <c r="B193" s="4"/>
      <c r="C193" s="5"/>
      <c r="D193" s="5"/>
      <c r="E193" s="5"/>
      <c r="F193" s="5"/>
      <c r="G193" s="5"/>
      <c r="H193" s="5"/>
      <c r="I193" s="3" t="str">
        <f aca="false">IF(H193="","",HYPERLINK("https://wa.me/55"&amp;SUBSTITUTE(SUBSTITUTE(SUBSTITUTE(SUBSTITUTE(H193,"(",""),")",""),"-","")," ",""),"Abrir"))</f>
        <v/>
      </c>
      <c r="J193" s="3"/>
      <c r="K193" s="5"/>
      <c r="L193" s="5"/>
      <c r="M193" s="6"/>
      <c r="N193" s="4" t="str">
        <f aca="false">IF(M193="","",WORKDAY(M193,3))</f>
        <v/>
      </c>
      <c r="O193" s="4" t="str">
        <f aca="false">IF(M193="","",WORKDAY(M193,7))</f>
        <v/>
      </c>
      <c r="P193" s="4" t="str">
        <f aca="false">IF(M193="","",WORKDAY(M193,30))</f>
        <v/>
      </c>
      <c r="Q193" s="4" t="str">
        <f aca="true">IF(M193="","",IF(OR(T193="Sim",COUNTIF({"FECHADO";"Perdido";"Descartado"},L193)&gt;0),"",IF(TODAY()&lt;N193,N193,IF(TODAY()&lt;O193,O193,IF(TODAY()&lt;=P193,P193,"")))))</f>
        <v/>
      </c>
      <c r="R193" s="3" t="str">
        <f aca="true">IF(C193="","",IF(COUNTIF({"FECHADO";"Perdido";"Descartado"},L193)&gt;0,"-",IF(M193="","INICIAR",IF(T193="Sim","RESPONDEU",IF(Q193="","ESGOTADO",IF(Q193&lt;TODAY(),"ATRASADO",IF(Q193=TODAY(),"HOJE","No prazo")))))))</f>
        <v/>
      </c>
      <c r="S193" s="3" t="str">
        <f aca="true">IF(M193="","",TODAY()-M193)</f>
        <v/>
      </c>
      <c r="T193" s="7"/>
      <c r="U193" s="8"/>
      <c r="V193" s="8"/>
      <c r="W193" s="8"/>
      <c r="X193" s="4"/>
      <c r="Y193" s="5"/>
    </row>
    <row r="194" customFormat="false" ht="15" hidden="false" customHeight="false" outlineLevel="0" collapsed="false">
      <c r="A194" s="9"/>
      <c r="B194" s="10"/>
      <c r="C194" s="5"/>
      <c r="D194" s="5"/>
      <c r="E194" s="5"/>
      <c r="F194" s="5"/>
      <c r="G194" s="5"/>
      <c r="H194" s="5"/>
      <c r="I194" s="9" t="str">
        <f aca="false">IF(H194="","",HYPERLINK("https://wa.me/55"&amp;SUBSTITUTE(SUBSTITUTE(SUBSTITUTE(SUBSTITUTE(H194,"(",""),")",""),"-","")," ",""),"Abrir"))</f>
        <v/>
      </c>
      <c r="J194" s="9"/>
      <c r="K194" s="5"/>
      <c r="L194" s="5"/>
      <c r="M194" s="6"/>
      <c r="N194" s="10" t="str">
        <f aca="false">IF(M194="","",WORKDAY(M194,3))</f>
        <v/>
      </c>
      <c r="O194" s="10" t="str">
        <f aca="false">IF(M194="","",WORKDAY(M194,7))</f>
        <v/>
      </c>
      <c r="P194" s="10" t="str">
        <f aca="false">IF(M194="","",WORKDAY(M194,30))</f>
        <v/>
      </c>
      <c r="Q194" s="10" t="str">
        <f aca="true">IF(M194="","",IF(OR(T194="Sim",COUNTIF({"FECHADO";"Perdido";"Descartado"},L194)&gt;0),"",IF(TODAY()&lt;N194,N194,IF(TODAY()&lt;O194,O194,IF(TODAY()&lt;=P194,P194,"")))))</f>
        <v/>
      </c>
      <c r="R194" s="9" t="str">
        <f aca="true">IF(C194="","",IF(COUNTIF({"FECHADO";"Perdido";"Descartado"},L194)&gt;0,"-",IF(M194="","INICIAR",IF(T194="Sim","RESPONDEU",IF(Q194="","ESGOTADO",IF(Q194&lt;TODAY(),"ATRASADO",IF(Q194=TODAY(),"HOJE","No prazo")))))))</f>
        <v/>
      </c>
      <c r="S194" s="9" t="str">
        <f aca="true">IF(M194="","",TODAY()-M194)</f>
        <v/>
      </c>
      <c r="T194" s="7"/>
      <c r="U194" s="11"/>
      <c r="V194" s="11"/>
      <c r="W194" s="11"/>
      <c r="X194" s="10"/>
      <c r="Y194" s="5"/>
    </row>
    <row r="195" customFormat="false" ht="15" hidden="false" customHeight="false" outlineLevel="0" collapsed="false">
      <c r="A195" s="3"/>
      <c r="B195" s="4"/>
      <c r="C195" s="5"/>
      <c r="D195" s="5"/>
      <c r="E195" s="5"/>
      <c r="F195" s="5"/>
      <c r="G195" s="5"/>
      <c r="H195" s="5"/>
      <c r="I195" s="3" t="str">
        <f aca="false">IF(H195="","",HYPERLINK("https://wa.me/55"&amp;SUBSTITUTE(SUBSTITUTE(SUBSTITUTE(SUBSTITUTE(H195,"(",""),")",""),"-","")," ",""),"Abrir"))</f>
        <v/>
      </c>
      <c r="J195" s="3"/>
      <c r="K195" s="5"/>
      <c r="L195" s="5"/>
      <c r="M195" s="6"/>
      <c r="N195" s="4" t="str">
        <f aca="false">IF(M195="","",WORKDAY(M195,3))</f>
        <v/>
      </c>
      <c r="O195" s="4" t="str">
        <f aca="false">IF(M195="","",WORKDAY(M195,7))</f>
        <v/>
      </c>
      <c r="P195" s="4" t="str">
        <f aca="false">IF(M195="","",WORKDAY(M195,30))</f>
        <v/>
      </c>
      <c r="Q195" s="4" t="str">
        <f aca="true">IF(M195="","",IF(OR(T195="Sim",COUNTIF({"FECHADO";"Perdido";"Descartado"},L195)&gt;0),"",IF(TODAY()&lt;N195,N195,IF(TODAY()&lt;O195,O195,IF(TODAY()&lt;=P195,P195,"")))))</f>
        <v/>
      </c>
      <c r="R195" s="3" t="str">
        <f aca="true">IF(C195="","",IF(COUNTIF({"FECHADO";"Perdido";"Descartado"},L195)&gt;0,"-",IF(M195="","INICIAR",IF(T195="Sim","RESPONDEU",IF(Q195="","ESGOTADO",IF(Q195&lt;TODAY(),"ATRASADO",IF(Q195=TODAY(),"HOJE","No prazo")))))))</f>
        <v/>
      </c>
      <c r="S195" s="3" t="str">
        <f aca="true">IF(M195="","",TODAY()-M195)</f>
        <v/>
      </c>
      <c r="T195" s="7"/>
      <c r="U195" s="8"/>
      <c r="V195" s="8"/>
      <c r="W195" s="8"/>
      <c r="X195" s="4"/>
      <c r="Y195" s="5"/>
    </row>
    <row r="196" customFormat="false" ht="15" hidden="false" customHeight="false" outlineLevel="0" collapsed="false">
      <c r="A196" s="9"/>
      <c r="B196" s="10"/>
      <c r="C196" s="5"/>
      <c r="D196" s="5"/>
      <c r="E196" s="5"/>
      <c r="F196" s="5"/>
      <c r="G196" s="5"/>
      <c r="H196" s="5"/>
      <c r="I196" s="9" t="str">
        <f aca="false">IF(H196="","",HYPERLINK("https://wa.me/55"&amp;SUBSTITUTE(SUBSTITUTE(SUBSTITUTE(SUBSTITUTE(H196,"(",""),")",""),"-","")," ",""),"Abrir"))</f>
        <v/>
      </c>
      <c r="J196" s="9"/>
      <c r="K196" s="5"/>
      <c r="L196" s="5"/>
      <c r="M196" s="6"/>
      <c r="N196" s="10" t="str">
        <f aca="false">IF(M196="","",WORKDAY(M196,3))</f>
        <v/>
      </c>
      <c r="O196" s="10" t="str">
        <f aca="false">IF(M196="","",WORKDAY(M196,7))</f>
        <v/>
      </c>
      <c r="P196" s="10" t="str">
        <f aca="false">IF(M196="","",WORKDAY(M196,30))</f>
        <v/>
      </c>
      <c r="Q196" s="10" t="str">
        <f aca="true">IF(M196="","",IF(OR(T196="Sim",COUNTIF({"FECHADO";"Perdido";"Descartado"},L196)&gt;0),"",IF(TODAY()&lt;N196,N196,IF(TODAY()&lt;O196,O196,IF(TODAY()&lt;=P196,P196,"")))))</f>
        <v/>
      </c>
      <c r="R196" s="9" t="str">
        <f aca="true">IF(C196="","",IF(COUNTIF({"FECHADO";"Perdido";"Descartado"},L196)&gt;0,"-",IF(M196="","INICIAR",IF(T196="Sim","RESPONDEU",IF(Q196="","ESGOTADO",IF(Q196&lt;TODAY(),"ATRASADO",IF(Q196=TODAY(),"HOJE","No prazo")))))))</f>
        <v/>
      </c>
      <c r="S196" s="9" t="str">
        <f aca="true">IF(M196="","",TODAY()-M196)</f>
        <v/>
      </c>
      <c r="T196" s="7"/>
      <c r="U196" s="11"/>
      <c r="V196" s="11"/>
      <c r="W196" s="11"/>
      <c r="X196" s="10"/>
      <c r="Y196" s="5"/>
    </row>
    <row r="197" customFormat="false" ht="15" hidden="false" customHeight="false" outlineLevel="0" collapsed="false">
      <c r="A197" s="3"/>
      <c r="B197" s="4"/>
      <c r="C197" s="5"/>
      <c r="D197" s="5"/>
      <c r="E197" s="5"/>
      <c r="F197" s="5"/>
      <c r="G197" s="5"/>
      <c r="H197" s="5"/>
      <c r="I197" s="3" t="str">
        <f aca="false">IF(H197="","",HYPERLINK("https://wa.me/55"&amp;SUBSTITUTE(SUBSTITUTE(SUBSTITUTE(SUBSTITUTE(H197,"(",""),")",""),"-","")," ",""),"Abrir"))</f>
        <v/>
      </c>
      <c r="J197" s="3"/>
      <c r="K197" s="5"/>
      <c r="L197" s="5"/>
      <c r="M197" s="6"/>
      <c r="N197" s="4" t="str">
        <f aca="false">IF(M197="","",WORKDAY(M197,3))</f>
        <v/>
      </c>
      <c r="O197" s="4" t="str">
        <f aca="false">IF(M197="","",WORKDAY(M197,7))</f>
        <v/>
      </c>
      <c r="P197" s="4" t="str">
        <f aca="false">IF(M197="","",WORKDAY(M197,30))</f>
        <v/>
      </c>
      <c r="Q197" s="4" t="str">
        <f aca="true">IF(M197="","",IF(OR(T197="Sim",COUNTIF({"FECHADO";"Perdido";"Descartado"},L197)&gt;0),"",IF(TODAY()&lt;N197,N197,IF(TODAY()&lt;O197,O197,IF(TODAY()&lt;=P197,P197,"")))))</f>
        <v/>
      </c>
      <c r="R197" s="3" t="str">
        <f aca="true">IF(C197="","",IF(COUNTIF({"FECHADO";"Perdido";"Descartado"},L197)&gt;0,"-",IF(M197="","INICIAR",IF(T197="Sim","RESPONDEU",IF(Q197="","ESGOTADO",IF(Q197&lt;TODAY(),"ATRASADO",IF(Q197=TODAY(),"HOJE","No prazo")))))))</f>
        <v/>
      </c>
      <c r="S197" s="3" t="str">
        <f aca="true">IF(M197="","",TODAY()-M197)</f>
        <v/>
      </c>
      <c r="T197" s="7"/>
      <c r="U197" s="8"/>
      <c r="V197" s="8"/>
      <c r="W197" s="8"/>
      <c r="X197" s="4"/>
      <c r="Y197" s="5"/>
    </row>
    <row r="198" customFormat="false" ht="15" hidden="false" customHeight="false" outlineLevel="0" collapsed="false">
      <c r="A198" s="9"/>
      <c r="B198" s="10"/>
      <c r="C198" s="5"/>
      <c r="D198" s="5"/>
      <c r="E198" s="5"/>
      <c r="F198" s="5"/>
      <c r="G198" s="5"/>
      <c r="H198" s="5"/>
      <c r="I198" s="9" t="str">
        <f aca="false">IF(H198="","",HYPERLINK("https://wa.me/55"&amp;SUBSTITUTE(SUBSTITUTE(SUBSTITUTE(SUBSTITUTE(H198,"(",""),")",""),"-","")," ",""),"Abrir"))</f>
        <v/>
      </c>
      <c r="J198" s="9"/>
      <c r="K198" s="5"/>
      <c r="L198" s="5"/>
      <c r="M198" s="6"/>
      <c r="N198" s="10" t="str">
        <f aca="false">IF(M198="","",WORKDAY(M198,3))</f>
        <v/>
      </c>
      <c r="O198" s="10" t="str">
        <f aca="false">IF(M198="","",WORKDAY(M198,7))</f>
        <v/>
      </c>
      <c r="P198" s="10" t="str">
        <f aca="false">IF(M198="","",WORKDAY(M198,30))</f>
        <v/>
      </c>
      <c r="Q198" s="10" t="str">
        <f aca="true">IF(M198="","",IF(OR(T198="Sim",COUNTIF({"FECHADO";"Perdido";"Descartado"},L198)&gt;0),"",IF(TODAY()&lt;N198,N198,IF(TODAY()&lt;O198,O198,IF(TODAY()&lt;=P198,P198,"")))))</f>
        <v/>
      </c>
      <c r="R198" s="9" t="str">
        <f aca="true">IF(C198="","",IF(COUNTIF({"FECHADO";"Perdido";"Descartado"},L198)&gt;0,"-",IF(M198="","INICIAR",IF(T198="Sim","RESPONDEU",IF(Q198="","ESGOTADO",IF(Q198&lt;TODAY(),"ATRASADO",IF(Q198=TODAY(),"HOJE","No prazo")))))))</f>
        <v/>
      </c>
      <c r="S198" s="9" t="str">
        <f aca="true">IF(M198="","",TODAY()-M198)</f>
        <v/>
      </c>
      <c r="T198" s="7"/>
      <c r="U198" s="11"/>
      <c r="V198" s="11"/>
      <c r="W198" s="11"/>
      <c r="X198" s="10"/>
      <c r="Y198" s="5"/>
    </row>
    <row r="199" customFormat="false" ht="15" hidden="false" customHeight="false" outlineLevel="0" collapsed="false">
      <c r="A199" s="3"/>
      <c r="B199" s="4"/>
      <c r="C199" s="5"/>
      <c r="D199" s="5"/>
      <c r="E199" s="5"/>
      <c r="F199" s="5"/>
      <c r="G199" s="5"/>
      <c r="H199" s="5"/>
      <c r="I199" s="3" t="str">
        <f aca="false">IF(H199="","",HYPERLINK("https://wa.me/55"&amp;SUBSTITUTE(SUBSTITUTE(SUBSTITUTE(SUBSTITUTE(H199,"(",""),")",""),"-","")," ",""),"Abrir"))</f>
        <v/>
      </c>
      <c r="J199" s="3"/>
      <c r="K199" s="5"/>
      <c r="L199" s="5"/>
      <c r="M199" s="6"/>
      <c r="N199" s="4" t="str">
        <f aca="false">IF(M199="","",WORKDAY(M199,3))</f>
        <v/>
      </c>
      <c r="O199" s="4" t="str">
        <f aca="false">IF(M199="","",WORKDAY(M199,7))</f>
        <v/>
      </c>
      <c r="P199" s="4" t="str">
        <f aca="false">IF(M199="","",WORKDAY(M199,30))</f>
        <v/>
      </c>
      <c r="Q199" s="4" t="str">
        <f aca="true">IF(M199="","",IF(OR(T199="Sim",COUNTIF({"FECHADO";"Perdido";"Descartado"},L199)&gt;0),"",IF(TODAY()&lt;N199,N199,IF(TODAY()&lt;O199,O199,IF(TODAY()&lt;=P199,P199,"")))))</f>
        <v/>
      </c>
      <c r="R199" s="3" t="str">
        <f aca="true">IF(C199="","",IF(COUNTIF({"FECHADO";"Perdido";"Descartado"},L199)&gt;0,"-",IF(M199="","INICIAR",IF(T199="Sim","RESPONDEU",IF(Q199="","ESGOTADO",IF(Q199&lt;TODAY(),"ATRASADO",IF(Q199=TODAY(),"HOJE","No prazo")))))))</f>
        <v/>
      </c>
      <c r="S199" s="3" t="str">
        <f aca="true">IF(M199="","",TODAY()-M199)</f>
        <v/>
      </c>
      <c r="T199" s="7"/>
      <c r="U199" s="8"/>
      <c r="V199" s="8"/>
      <c r="W199" s="8"/>
      <c r="X199" s="4"/>
      <c r="Y199" s="5"/>
    </row>
    <row r="200" customFormat="false" ht="15" hidden="false" customHeight="false" outlineLevel="0" collapsed="false">
      <c r="A200" s="9"/>
      <c r="B200" s="10"/>
      <c r="C200" s="5"/>
      <c r="D200" s="5"/>
      <c r="E200" s="5"/>
      <c r="F200" s="5"/>
      <c r="G200" s="5"/>
      <c r="H200" s="5"/>
      <c r="I200" s="9" t="str">
        <f aca="false">IF(H200="","",HYPERLINK("https://wa.me/55"&amp;SUBSTITUTE(SUBSTITUTE(SUBSTITUTE(SUBSTITUTE(H200,"(",""),")",""),"-","")," ",""),"Abrir"))</f>
        <v/>
      </c>
      <c r="J200" s="9"/>
      <c r="K200" s="5"/>
      <c r="L200" s="5"/>
      <c r="M200" s="6"/>
      <c r="N200" s="10" t="str">
        <f aca="false">IF(M200="","",WORKDAY(M200,3))</f>
        <v/>
      </c>
      <c r="O200" s="10" t="str">
        <f aca="false">IF(M200="","",WORKDAY(M200,7))</f>
        <v/>
      </c>
      <c r="P200" s="10" t="str">
        <f aca="false">IF(M200="","",WORKDAY(M200,30))</f>
        <v/>
      </c>
      <c r="Q200" s="10" t="str">
        <f aca="true">IF(M200="","",IF(OR(T200="Sim",COUNTIF({"FECHADO";"Perdido";"Descartado"},L200)&gt;0),"",IF(TODAY()&lt;N200,N200,IF(TODAY()&lt;O200,O200,IF(TODAY()&lt;=P200,P200,"")))))</f>
        <v/>
      </c>
      <c r="R200" s="9" t="str">
        <f aca="true">IF(C200="","",IF(COUNTIF({"FECHADO";"Perdido";"Descartado"},L200)&gt;0,"-",IF(M200="","INICIAR",IF(T200="Sim","RESPONDEU",IF(Q200="","ESGOTADO",IF(Q200&lt;TODAY(),"ATRASADO",IF(Q200=TODAY(),"HOJE","No prazo")))))))</f>
        <v/>
      </c>
      <c r="S200" s="9" t="str">
        <f aca="true">IF(M200="","",TODAY()-M200)</f>
        <v/>
      </c>
      <c r="T200" s="7"/>
      <c r="U200" s="11"/>
      <c r="V200" s="11"/>
      <c r="W200" s="11"/>
      <c r="X200" s="10"/>
      <c r="Y200" s="5"/>
    </row>
    <row r="201" customFormat="false" ht="15" hidden="false" customHeight="false" outlineLevel="0" collapsed="false">
      <c r="A201" s="3"/>
      <c r="B201" s="4"/>
      <c r="C201" s="5"/>
      <c r="D201" s="5"/>
      <c r="E201" s="5"/>
      <c r="F201" s="5"/>
      <c r="G201" s="5"/>
      <c r="H201" s="5"/>
      <c r="I201" s="3" t="str">
        <f aca="false">IF(H201="","",HYPERLINK("https://wa.me/55"&amp;SUBSTITUTE(SUBSTITUTE(SUBSTITUTE(SUBSTITUTE(H201,"(",""),")",""),"-","")," ",""),"Abrir"))</f>
        <v/>
      </c>
      <c r="J201" s="3"/>
      <c r="K201" s="5"/>
      <c r="L201" s="5"/>
      <c r="M201" s="6"/>
      <c r="N201" s="4" t="str">
        <f aca="false">IF(M201="","",WORKDAY(M201,3))</f>
        <v/>
      </c>
      <c r="O201" s="4" t="str">
        <f aca="false">IF(M201="","",WORKDAY(M201,7))</f>
        <v/>
      </c>
      <c r="P201" s="4" t="str">
        <f aca="false">IF(M201="","",WORKDAY(M201,30))</f>
        <v/>
      </c>
      <c r="Q201" s="4" t="str">
        <f aca="true">IF(M201="","",IF(OR(T201="Sim",COUNTIF({"FECHADO";"Perdido";"Descartado"},L201)&gt;0),"",IF(TODAY()&lt;N201,N201,IF(TODAY()&lt;O201,O201,IF(TODAY()&lt;=P201,P201,"")))))</f>
        <v/>
      </c>
      <c r="R201" s="3" t="str">
        <f aca="true">IF(C201="","",IF(COUNTIF({"FECHADO";"Perdido";"Descartado"},L201)&gt;0,"-",IF(M201="","INICIAR",IF(T201="Sim","RESPONDEU",IF(Q201="","ESGOTADO",IF(Q201&lt;TODAY(),"ATRASADO",IF(Q201=TODAY(),"HOJE","No prazo")))))))</f>
        <v/>
      </c>
      <c r="S201" s="3" t="str">
        <f aca="true">IF(M201="","",TODAY()-M201)</f>
        <v/>
      </c>
      <c r="T201" s="7"/>
      <c r="U201" s="8"/>
      <c r="V201" s="8"/>
      <c r="W201" s="8"/>
      <c r="X201" s="4"/>
      <c r="Y201" s="5"/>
    </row>
    <row r="202" customFormat="false" ht="15" hidden="false" customHeight="false" outlineLevel="0" collapsed="false">
      <c r="A202" s="9"/>
      <c r="B202" s="10"/>
      <c r="C202" s="5"/>
      <c r="D202" s="5"/>
      <c r="E202" s="5"/>
      <c r="F202" s="5"/>
      <c r="G202" s="5"/>
      <c r="H202" s="5"/>
      <c r="I202" s="9" t="str">
        <f aca="false">IF(H202="","",HYPERLINK("https://wa.me/55"&amp;SUBSTITUTE(SUBSTITUTE(SUBSTITUTE(SUBSTITUTE(H202,"(",""),")",""),"-","")," ",""),"Abrir"))</f>
        <v/>
      </c>
      <c r="J202" s="9"/>
      <c r="K202" s="5"/>
      <c r="L202" s="5"/>
      <c r="M202" s="6"/>
      <c r="N202" s="10" t="str">
        <f aca="false">IF(M202="","",WORKDAY(M202,3))</f>
        <v/>
      </c>
      <c r="O202" s="10" t="str">
        <f aca="false">IF(M202="","",WORKDAY(M202,7))</f>
        <v/>
      </c>
      <c r="P202" s="10" t="str">
        <f aca="false">IF(M202="","",WORKDAY(M202,30))</f>
        <v/>
      </c>
      <c r="Q202" s="10" t="str">
        <f aca="true">IF(M202="","",IF(OR(T202="Sim",COUNTIF({"FECHADO";"Perdido";"Descartado"},L202)&gt;0),"",IF(TODAY()&lt;N202,N202,IF(TODAY()&lt;O202,O202,IF(TODAY()&lt;=P202,P202,"")))))</f>
        <v/>
      </c>
      <c r="R202" s="9" t="str">
        <f aca="true">IF(C202="","",IF(COUNTIF({"FECHADO";"Perdido";"Descartado"},L202)&gt;0,"-",IF(M202="","INICIAR",IF(T202="Sim","RESPONDEU",IF(Q202="","ESGOTADO",IF(Q202&lt;TODAY(),"ATRASADO",IF(Q202=TODAY(),"HOJE","No prazo")))))))</f>
        <v/>
      </c>
      <c r="S202" s="9" t="str">
        <f aca="true">IF(M202="","",TODAY()-M202)</f>
        <v/>
      </c>
      <c r="T202" s="7"/>
      <c r="U202" s="11"/>
      <c r="V202" s="11"/>
      <c r="W202" s="11"/>
      <c r="X202" s="10"/>
      <c r="Y202" s="5"/>
    </row>
    <row r="203" customFormat="false" ht="15" hidden="false" customHeight="false" outlineLevel="0" collapsed="false">
      <c r="A203" s="3"/>
      <c r="B203" s="4"/>
      <c r="C203" s="5"/>
      <c r="D203" s="5"/>
      <c r="E203" s="5"/>
      <c r="F203" s="5"/>
      <c r="G203" s="5"/>
      <c r="H203" s="5"/>
      <c r="I203" s="3" t="str">
        <f aca="false">IF(H203="","",HYPERLINK("https://wa.me/55"&amp;SUBSTITUTE(SUBSTITUTE(SUBSTITUTE(SUBSTITUTE(H203,"(",""),")",""),"-","")," ",""),"Abrir"))</f>
        <v/>
      </c>
      <c r="J203" s="3"/>
      <c r="K203" s="5"/>
      <c r="L203" s="5"/>
      <c r="M203" s="6"/>
      <c r="N203" s="4" t="str">
        <f aca="false">IF(M203="","",WORKDAY(M203,3))</f>
        <v/>
      </c>
      <c r="O203" s="4" t="str">
        <f aca="false">IF(M203="","",WORKDAY(M203,7))</f>
        <v/>
      </c>
      <c r="P203" s="4" t="str">
        <f aca="false">IF(M203="","",WORKDAY(M203,30))</f>
        <v/>
      </c>
      <c r="Q203" s="4" t="str">
        <f aca="true">IF(M203="","",IF(OR(T203="Sim",COUNTIF({"FECHADO";"Perdido";"Descartado"},L203)&gt;0),"",IF(TODAY()&lt;N203,N203,IF(TODAY()&lt;O203,O203,IF(TODAY()&lt;=P203,P203,"")))))</f>
        <v/>
      </c>
      <c r="R203" s="3" t="str">
        <f aca="true">IF(C203="","",IF(COUNTIF({"FECHADO";"Perdido";"Descartado"},L203)&gt;0,"-",IF(M203="","INICIAR",IF(T203="Sim","RESPONDEU",IF(Q203="","ESGOTADO",IF(Q203&lt;TODAY(),"ATRASADO",IF(Q203=TODAY(),"HOJE","No prazo")))))))</f>
        <v/>
      </c>
      <c r="S203" s="3" t="str">
        <f aca="true">IF(M203="","",TODAY()-M203)</f>
        <v/>
      </c>
      <c r="T203" s="7"/>
      <c r="U203" s="8"/>
      <c r="V203" s="8"/>
      <c r="W203" s="8"/>
      <c r="X203" s="4"/>
      <c r="Y203" s="5"/>
    </row>
    <row r="204" customFormat="false" ht="15" hidden="false" customHeight="false" outlineLevel="0" collapsed="false">
      <c r="A204" s="9"/>
      <c r="B204" s="10"/>
      <c r="C204" s="5"/>
      <c r="D204" s="5"/>
      <c r="E204" s="5"/>
      <c r="F204" s="5"/>
      <c r="G204" s="5"/>
      <c r="H204" s="5"/>
      <c r="I204" s="9" t="str">
        <f aca="false">IF(H204="","",HYPERLINK("https://wa.me/55"&amp;SUBSTITUTE(SUBSTITUTE(SUBSTITUTE(SUBSTITUTE(H204,"(",""),")",""),"-","")," ",""),"Abrir"))</f>
        <v/>
      </c>
      <c r="J204" s="9"/>
      <c r="K204" s="5"/>
      <c r="L204" s="5"/>
      <c r="M204" s="6"/>
      <c r="N204" s="10" t="str">
        <f aca="false">IF(M204="","",WORKDAY(M204,3))</f>
        <v/>
      </c>
      <c r="O204" s="10" t="str">
        <f aca="false">IF(M204="","",WORKDAY(M204,7))</f>
        <v/>
      </c>
      <c r="P204" s="10" t="str">
        <f aca="false">IF(M204="","",WORKDAY(M204,30))</f>
        <v/>
      </c>
      <c r="Q204" s="10" t="str">
        <f aca="true">IF(M204="","",IF(OR(T204="Sim",COUNTIF({"FECHADO";"Perdido";"Descartado"},L204)&gt;0),"",IF(TODAY()&lt;N204,N204,IF(TODAY()&lt;O204,O204,IF(TODAY()&lt;=P204,P204,"")))))</f>
        <v/>
      </c>
      <c r="R204" s="9" t="str">
        <f aca="true">IF(C204="","",IF(COUNTIF({"FECHADO";"Perdido";"Descartado"},L204)&gt;0,"-",IF(M204="","INICIAR",IF(T204="Sim","RESPONDEU",IF(Q204="","ESGOTADO",IF(Q204&lt;TODAY(),"ATRASADO",IF(Q204=TODAY(),"HOJE","No prazo")))))))</f>
        <v/>
      </c>
      <c r="S204" s="9" t="str">
        <f aca="true">IF(M204="","",TODAY()-M204)</f>
        <v/>
      </c>
      <c r="T204" s="7"/>
      <c r="U204" s="11"/>
      <c r="V204" s="11"/>
      <c r="W204" s="11"/>
      <c r="X204" s="10"/>
      <c r="Y204" s="5"/>
    </row>
    <row r="205" customFormat="false" ht="15" hidden="false" customHeight="false" outlineLevel="0" collapsed="false">
      <c r="A205" s="3"/>
      <c r="B205" s="4"/>
      <c r="C205" s="5"/>
      <c r="D205" s="5"/>
      <c r="E205" s="5"/>
      <c r="F205" s="5"/>
      <c r="G205" s="5"/>
      <c r="H205" s="5"/>
      <c r="I205" s="3" t="str">
        <f aca="false">IF(H205="","",HYPERLINK("https://wa.me/55"&amp;SUBSTITUTE(SUBSTITUTE(SUBSTITUTE(SUBSTITUTE(H205,"(",""),")",""),"-","")," ",""),"Abrir"))</f>
        <v/>
      </c>
      <c r="J205" s="3"/>
      <c r="K205" s="5"/>
      <c r="L205" s="5"/>
      <c r="M205" s="6"/>
      <c r="N205" s="4" t="str">
        <f aca="false">IF(M205="","",WORKDAY(M205,3))</f>
        <v/>
      </c>
      <c r="O205" s="4" t="str">
        <f aca="false">IF(M205="","",WORKDAY(M205,7))</f>
        <v/>
      </c>
      <c r="P205" s="4" t="str">
        <f aca="false">IF(M205="","",WORKDAY(M205,30))</f>
        <v/>
      </c>
      <c r="Q205" s="4" t="str">
        <f aca="true">IF(M205="","",IF(OR(T205="Sim",COUNTIF({"FECHADO";"Perdido";"Descartado"},L205)&gt;0),"",IF(TODAY()&lt;N205,N205,IF(TODAY()&lt;O205,O205,IF(TODAY()&lt;=P205,P205,"")))))</f>
        <v/>
      </c>
      <c r="R205" s="3" t="str">
        <f aca="true">IF(C205="","",IF(COUNTIF({"FECHADO";"Perdido";"Descartado"},L205)&gt;0,"-",IF(M205="","INICIAR",IF(T205="Sim","RESPONDEU",IF(Q205="","ESGOTADO",IF(Q205&lt;TODAY(),"ATRASADO",IF(Q205=TODAY(),"HOJE","No prazo")))))))</f>
        <v/>
      </c>
      <c r="S205" s="3" t="str">
        <f aca="true">IF(M205="","",TODAY()-M205)</f>
        <v/>
      </c>
      <c r="T205" s="7"/>
      <c r="U205" s="8"/>
      <c r="V205" s="8"/>
      <c r="W205" s="8"/>
      <c r="X205" s="4"/>
      <c r="Y205" s="5"/>
    </row>
    <row r="206" customFormat="false" ht="15" hidden="false" customHeight="false" outlineLevel="0" collapsed="false">
      <c r="A206" s="9"/>
      <c r="B206" s="10"/>
      <c r="C206" s="5"/>
      <c r="D206" s="5"/>
      <c r="E206" s="5"/>
      <c r="F206" s="5"/>
      <c r="G206" s="5"/>
      <c r="H206" s="5"/>
      <c r="I206" s="9" t="str">
        <f aca="false">IF(H206="","",HYPERLINK("https://wa.me/55"&amp;SUBSTITUTE(SUBSTITUTE(SUBSTITUTE(SUBSTITUTE(H206,"(",""),")",""),"-","")," ",""),"Abrir"))</f>
        <v/>
      </c>
      <c r="J206" s="9"/>
      <c r="K206" s="5"/>
      <c r="L206" s="5"/>
      <c r="M206" s="6"/>
      <c r="N206" s="10" t="str">
        <f aca="false">IF(M206="","",WORKDAY(M206,3))</f>
        <v/>
      </c>
      <c r="O206" s="10" t="str">
        <f aca="false">IF(M206="","",WORKDAY(M206,7))</f>
        <v/>
      </c>
      <c r="P206" s="10" t="str">
        <f aca="false">IF(M206="","",WORKDAY(M206,30))</f>
        <v/>
      </c>
      <c r="Q206" s="10" t="str">
        <f aca="true">IF(M206="","",IF(OR(T206="Sim",COUNTIF({"FECHADO";"Perdido";"Descartado"},L206)&gt;0),"",IF(TODAY()&lt;N206,N206,IF(TODAY()&lt;O206,O206,IF(TODAY()&lt;=P206,P206,"")))))</f>
        <v/>
      </c>
      <c r="R206" s="9" t="str">
        <f aca="true">IF(C206="","",IF(COUNTIF({"FECHADO";"Perdido";"Descartado"},L206)&gt;0,"-",IF(M206="","INICIAR",IF(T206="Sim","RESPONDEU",IF(Q206="","ESGOTADO",IF(Q206&lt;TODAY(),"ATRASADO",IF(Q206=TODAY(),"HOJE","No prazo")))))))</f>
        <v/>
      </c>
      <c r="S206" s="9" t="str">
        <f aca="true">IF(M206="","",TODAY()-M206)</f>
        <v/>
      </c>
      <c r="T206" s="7"/>
      <c r="U206" s="11"/>
      <c r="V206" s="11"/>
      <c r="W206" s="11"/>
      <c r="X206" s="10"/>
      <c r="Y206" s="5"/>
    </row>
    <row r="207" customFormat="false" ht="15" hidden="false" customHeight="false" outlineLevel="0" collapsed="false">
      <c r="A207" s="3"/>
      <c r="B207" s="4"/>
      <c r="C207" s="5"/>
      <c r="D207" s="5"/>
      <c r="E207" s="5"/>
      <c r="F207" s="5"/>
      <c r="G207" s="5"/>
      <c r="H207" s="5"/>
      <c r="I207" s="3" t="str">
        <f aca="false">IF(H207="","",HYPERLINK("https://wa.me/55"&amp;SUBSTITUTE(SUBSTITUTE(SUBSTITUTE(SUBSTITUTE(H207,"(",""),")",""),"-","")," ",""),"Abrir"))</f>
        <v/>
      </c>
      <c r="J207" s="3"/>
      <c r="K207" s="5"/>
      <c r="L207" s="5"/>
      <c r="M207" s="6"/>
      <c r="N207" s="4" t="str">
        <f aca="false">IF(M207="","",WORKDAY(M207,3))</f>
        <v/>
      </c>
      <c r="O207" s="4" t="str">
        <f aca="false">IF(M207="","",WORKDAY(M207,7))</f>
        <v/>
      </c>
      <c r="P207" s="4" t="str">
        <f aca="false">IF(M207="","",WORKDAY(M207,30))</f>
        <v/>
      </c>
      <c r="Q207" s="4" t="str">
        <f aca="true">IF(M207="","",IF(OR(T207="Sim",COUNTIF({"FECHADO";"Perdido";"Descartado"},L207)&gt;0),"",IF(TODAY()&lt;N207,N207,IF(TODAY()&lt;O207,O207,IF(TODAY()&lt;=P207,P207,"")))))</f>
        <v/>
      </c>
      <c r="R207" s="3" t="str">
        <f aca="true">IF(C207="","",IF(COUNTIF({"FECHADO";"Perdido";"Descartado"},L207)&gt;0,"-",IF(M207="","INICIAR",IF(T207="Sim","RESPONDEU",IF(Q207="","ESGOTADO",IF(Q207&lt;TODAY(),"ATRASADO",IF(Q207=TODAY(),"HOJE","No prazo")))))))</f>
        <v/>
      </c>
      <c r="S207" s="3" t="str">
        <f aca="true">IF(M207="","",TODAY()-M207)</f>
        <v/>
      </c>
      <c r="T207" s="7"/>
      <c r="U207" s="8"/>
      <c r="V207" s="8"/>
      <c r="W207" s="8"/>
      <c r="X207" s="4"/>
      <c r="Y207" s="5"/>
    </row>
    <row r="208" customFormat="false" ht="15" hidden="false" customHeight="false" outlineLevel="0" collapsed="false">
      <c r="A208" s="9"/>
      <c r="B208" s="10"/>
      <c r="C208" s="5"/>
      <c r="D208" s="5"/>
      <c r="E208" s="5"/>
      <c r="F208" s="5"/>
      <c r="G208" s="5"/>
      <c r="H208" s="5"/>
      <c r="I208" s="9" t="str">
        <f aca="false">IF(H208="","",HYPERLINK("https://wa.me/55"&amp;SUBSTITUTE(SUBSTITUTE(SUBSTITUTE(SUBSTITUTE(H208,"(",""),")",""),"-","")," ",""),"Abrir"))</f>
        <v/>
      </c>
      <c r="J208" s="9"/>
      <c r="K208" s="5"/>
      <c r="L208" s="5"/>
      <c r="M208" s="6"/>
      <c r="N208" s="10" t="str">
        <f aca="false">IF(M208="","",WORKDAY(M208,3))</f>
        <v/>
      </c>
      <c r="O208" s="10" t="str">
        <f aca="false">IF(M208="","",WORKDAY(M208,7))</f>
        <v/>
      </c>
      <c r="P208" s="10" t="str">
        <f aca="false">IF(M208="","",WORKDAY(M208,30))</f>
        <v/>
      </c>
      <c r="Q208" s="10" t="str">
        <f aca="true">IF(M208="","",IF(OR(T208="Sim",COUNTIF({"FECHADO";"Perdido";"Descartado"},L208)&gt;0),"",IF(TODAY()&lt;N208,N208,IF(TODAY()&lt;O208,O208,IF(TODAY()&lt;=P208,P208,"")))))</f>
        <v/>
      </c>
      <c r="R208" s="9" t="str">
        <f aca="true">IF(C208="","",IF(COUNTIF({"FECHADO";"Perdido";"Descartado"},L208)&gt;0,"-",IF(M208="","INICIAR",IF(T208="Sim","RESPONDEU",IF(Q208="","ESGOTADO",IF(Q208&lt;TODAY(),"ATRASADO",IF(Q208=TODAY(),"HOJE","No prazo")))))))</f>
        <v/>
      </c>
      <c r="S208" s="9" t="str">
        <f aca="true">IF(M208="","",TODAY()-M208)</f>
        <v/>
      </c>
      <c r="T208" s="7"/>
      <c r="U208" s="11"/>
      <c r="V208" s="11"/>
      <c r="W208" s="11"/>
      <c r="X208" s="10"/>
      <c r="Y208" s="5"/>
    </row>
    <row r="209" customFormat="false" ht="15" hidden="false" customHeight="false" outlineLevel="0" collapsed="false">
      <c r="A209" s="3"/>
      <c r="B209" s="4"/>
      <c r="C209" s="5"/>
      <c r="D209" s="5"/>
      <c r="E209" s="5"/>
      <c r="F209" s="5"/>
      <c r="G209" s="5"/>
      <c r="H209" s="5"/>
      <c r="I209" s="3" t="str">
        <f aca="false">IF(H209="","",HYPERLINK("https://wa.me/55"&amp;SUBSTITUTE(SUBSTITUTE(SUBSTITUTE(SUBSTITUTE(H209,"(",""),")",""),"-","")," ",""),"Abrir"))</f>
        <v/>
      </c>
      <c r="J209" s="3"/>
      <c r="K209" s="5"/>
      <c r="L209" s="5"/>
      <c r="M209" s="6"/>
      <c r="N209" s="4" t="str">
        <f aca="false">IF(M209="","",WORKDAY(M209,3))</f>
        <v/>
      </c>
      <c r="O209" s="4" t="str">
        <f aca="false">IF(M209="","",WORKDAY(M209,7))</f>
        <v/>
      </c>
      <c r="P209" s="4" t="str">
        <f aca="false">IF(M209="","",WORKDAY(M209,30))</f>
        <v/>
      </c>
      <c r="Q209" s="4" t="str">
        <f aca="true">IF(M209="","",IF(OR(T209="Sim",COUNTIF({"FECHADO";"Perdido";"Descartado"},L209)&gt;0),"",IF(TODAY()&lt;N209,N209,IF(TODAY()&lt;O209,O209,IF(TODAY()&lt;=P209,P209,"")))))</f>
        <v/>
      </c>
      <c r="R209" s="3" t="str">
        <f aca="true">IF(C209="","",IF(COUNTIF({"FECHADO";"Perdido";"Descartado"},L209)&gt;0,"-",IF(M209="","INICIAR",IF(T209="Sim","RESPONDEU",IF(Q209="","ESGOTADO",IF(Q209&lt;TODAY(),"ATRASADO",IF(Q209=TODAY(),"HOJE","No prazo")))))))</f>
        <v/>
      </c>
      <c r="S209" s="3" t="str">
        <f aca="true">IF(M209="","",TODAY()-M209)</f>
        <v/>
      </c>
      <c r="T209" s="7"/>
      <c r="U209" s="8"/>
      <c r="V209" s="8"/>
      <c r="W209" s="8"/>
      <c r="X209" s="4"/>
      <c r="Y209" s="5"/>
    </row>
    <row r="210" customFormat="false" ht="15" hidden="false" customHeight="false" outlineLevel="0" collapsed="false">
      <c r="A210" s="9"/>
      <c r="B210" s="10"/>
      <c r="C210" s="5"/>
      <c r="D210" s="5"/>
      <c r="E210" s="5"/>
      <c r="F210" s="5"/>
      <c r="G210" s="5"/>
      <c r="H210" s="5"/>
      <c r="I210" s="9" t="str">
        <f aca="false">IF(H210="","",HYPERLINK("https://wa.me/55"&amp;SUBSTITUTE(SUBSTITUTE(SUBSTITUTE(SUBSTITUTE(H210,"(",""),")",""),"-","")," ",""),"Abrir"))</f>
        <v/>
      </c>
      <c r="J210" s="9"/>
      <c r="K210" s="5"/>
      <c r="L210" s="5"/>
      <c r="M210" s="6"/>
      <c r="N210" s="10" t="str">
        <f aca="false">IF(M210="","",WORKDAY(M210,3))</f>
        <v/>
      </c>
      <c r="O210" s="10" t="str">
        <f aca="false">IF(M210="","",WORKDAY(M210,7))</f>
        <v/>
      </c>
      <c r="P210" s="10" t="str">
        <f aca="false">IF(M210="","",WORKDAY(M210,30))</f>
        <v/>
      </c>
      <c r="Q210" s="10" t="str">
        <f aca="true">IF(M210="","",IF(OR(T210="Sim",COUNTIF({"FECHADO";"Perdido";"Descartado"},L210)&gt;0),"",IF(TODAY()&lt;N210,N210,IF(TODAY()&lt;O210,O210,IF(TODAY()&lt;=P210,P210,"")))))</f>
        <v/>
      </c>
      <c r="R210" s="9" t="str">
        <f aca="true">IF(C210="","",IF(COUNTIF({"FECHADO";"Perdido";"Descartado"},L210)&gt;0,"-",IF(M210="","INICIAR",IF(T210="Sim","RESPONDEU",IF(Q210="","ESGOTADO",IF(Q210&lt;TODAY(),"ATRASADO",IF(Q210=TODAY(),"HOJE","No prazo")))))))</f>
        <v/>
      </c>
      <c r="S210" s="9" t="str">
        <f aca="true">IF(M210="","",TODAY()-M210)</f>
        <v/>
      </c>
      <c r="T210" s="7"/>
      <c r="U210" s="11"/>
      <c r="V210" s="11"/>
      <c r="W210" s="11"/>
      <c r="X210" s="10"/>
      <c r="Y210" s="5"/>
    </row>
    <row r="211" customFormat="false" ht="15" hidden="false" customHeight="false" outlineLevel="0" collapsed="false">
      <c r="A211" s="3"/>
      <c r="B211" s="4"/>
      <c r="C211" s="5"/>
      <c r="D211" s="5"/>
      <c r="E211" s="5"/>
      <c r="F211" s="5"/>
      <c r="G211" s="5"/>
      <c r="H211" s="5"/>
      <c r="I211" s="3" t="str">
        <f aca="false">IF(H211="","",HYPERLINK("https://wa.me/55"&amp;SUBSTITUTE(SUBSTITUTE(SUBSTITUTE(SUBSTITUTE(H211,"(",""),")",""),"-","")," ",""),"Abrir"))</f>
        <v/>
      </c>
      <c r="J211" s="3"/>
      <c r="K211" s="5"/>
      <c r="L211" s="5"/>
      <c r="M211" s="6"/>
      <c r="N211" s="4" t="str">
        <f aca="false">IF(M211="","",WORKDAY(M211,3))</f>
        <v/>
      </c>
      <c r="O211" s="4" t="str">
        <f aca="false">IF(M211="","",WORKDAY(M211,7))</f>
        <v/>
      </c>
      <c r="P211" s="4" t="str">
        <f aca="false">IF(M211="","",WORKDAY(M211,30))</f>
        <v/>
      </c>
      <c r="Q211" s="4" t="str">
        <f aca="true">IF(M211="","",IF(OR(T211="Sim",COUNTIF({"FECHADO";"Perdido";"Descartado"},L211)&gt;0),"",IF(TODAY()&lt;N211,N211,IF(TODAY()&lt;O211,O211,IF(TODAY()&lt;=P211,P211,"")))))</f>
        <v/>
      </c>
      <c r="R211" s="3" t="str">
        <f aca="true">IF(C211="","",IF(COUNTIF({"FECHADO";"Perdido";"Descartado"},L211)&gt;0,"-",IF(M211="","INICIAR",IF(T211="Sim","RESPONDEU",IF(Q211="","ESGOTADO",IF(Q211&lt;TODAY(),"ATRASADO",IF(Q211=TODAY(),"HOJE","No prazo")))))))</f>
        <v/>
      </c>
      <c r="S211" s="3" t="str">
        <f aca="true">IF(M211="","",TODAY()-M211)</f>
        <v/>
      </c>
      <c r="T211" s="7"/>
      <c r="U211" s="8"/>
      <c r="V211" s="8"/>
      <c r="W211" s="8"/>
      <c r="X211" s="4"/>
      <c r="Y211" s="5"/>
    </row>
    <row r="212" customFormat="false" ht="15" hidden="false" customHeight="false" outlineLevel="0" collapsed="false">
      <c r="A212" s="9"/>
      <c r="B212" s="10"/>
      <c r="C212" s="5"/>
      <c r="D212" s="5"/>
      <c r="E212" s="5"/>
      <c r="F212" s="5"/>
      <c r="G212" s="5"/>
      <c r="H212" s="5"/>
      <c r="I212" s="9" t="str">
        <f aca="false">IF(H212="","",HYPERLINK("https://wa.me/55"&amp;SUBSTITUTE(SUBSTITUTE(SUBSTITUTE(SUBSTITUTE(H212,"(",""),")",""),"-","")," ",""),"Abrir"))</f>
        <v/>
      </c>
      <c r="J212" s="9"/>
      <c r="K212" s="5"/>
      <c r="L212" s="5"/>
      <c r="M212" s="6"/>
      <c r="N212" s="10" t="str">
        <f aca="false">IF(M212="","",WORKDAY(M212,3))</f>
        <v/>
      </c>
      <c r="O212" s="10" t="str">
        <f aca="false">IF(M212="","",WORKDAY(M212,7))</f>
        <v/>
      </c>
      <c r="P212" s="10" t="str">
        <f aca="false">IF(M212="","",WORKDAY(M212,30))</f>
        <v/>
      </c>
      <c r="Q212" s="10" t="str">
        <f aca="true">IF(M212="","",IF(OR(T212="Sim",COUNTIF({"FECHADO";"Perdido";"Descartado"},L212)&gt;0),"",IF(TODAY()&lt;N212,N212,IF(TODAY()&lt;O212,O212,IF(TODAY()&lt;=P212,P212,"")))))</f>
        <v/>
      </c>
      <c r="R212" s="9" t="str">
        <f aca="true">IF(C212="","",IF(COUNTIF({"FECHADO";"Perdido";"Descartado"},L212)&gt;0,"-",IF(M212="","INICIAR",IF(T212="Sim","RESPONDEU",IF(Q212="","ESGOTADO",IF(Q212&lt;TODAY(),"ATRASADO",IF(Q212=TODAY(),"HOJE","No prazo")))))))</f>
        <v/>
      </c>
      <c r="S212" s="9" t="str">
        <f aca="true">IF(M212="","",TODAY()-M212)</f>
        <v/>
      </c>
      <c r="T212" s="7"/>
      <c r="U212" s="11"/>
      <c r="V212" s="11"/>
      <c r="W212" s="11"/>
      <c r="X212" s="10"/>
      <c r="Y212" s="5"/>
    </row>
    <row r="213" customFormat="false" ht="15" hidden="false" customHeight="false" outlineLevel="0" collapsed="false">
      <c r="A213" s="3"/>
      <c r="B213" s="4"/>
      <c r="C213" s="5"/>
      <c r="D213" s="5"/>
      <c r="E213" s="5"/>
      <c r="F213" s="5"/>
      <c r="G213" s="5"/>
      <c r="H213" s="5"/>
      <c r="I213" s="3" t="str">
        <f aca="false">IF(H213="","",HYPERLINK("https://wa.me/55"&amp;SUBSTITUTE(SUBSTITUTE(SUBSTITUTE(SUBSTITUTE(H213,"(",""),")",""),"-","")," ",""),"Abrir"))</f>
        <v/>
      </c>
      <c r="J213" s="3"/>
      <c r="K213" s="5"/>
      <c r="L213" s="5"/>
      <c r="M213" s="6"/>
      <c r="N213" s="4" t="str">
        <f aca="false">IF(M213="","",WORKDAY(M213,3))</f>
        <v/>
      </c>
      <c r="O213" s="4" t="str">
        <f aca="false">IF(M213="","",WORKDAY(M213,7))</f>
        <v/>
      </c>
      <c r="P213" s="4" t="str">
        <f aca="false">IF(M213="","",WORKDAY(M213,30))</f>
        <v/>
      </c>
      <c r="Q213" s="4" t="str">
        <f aca="true">IF(M213="","",IF(OR(T213="Sim",COUNTIF({"FECHADO";"Perdido";"Descartado"},L213)&gt;0),"",IF(TODAY()&lt;N213,N213,IF(TODAY()&lt;O213,O213,IF(TODAY()&lt;=P213,P213,"")))))</f>
        <v/>
      </c>
      <c r="R213" s="3" t="str">
        <f aca="true">IF(C213="","",IF(COUNTIF({"FECHADO";"Perdido";"Descartado"},L213)&gt;0,"-",IF(M213="","INICIAR",IF(T213="Sim","RESPONDEU",IF(Q213="","ESGOTADO",IF(Q213&lt;TODAY(),"ATRASADO",IF(Q213=TODAY(),"HOJE","No prazo")))))))</f>
        <v/>
      </c>
      <c r="S213" s="3" t="str">
        <f aca="true">IF(M213="","",TODAY()-M213)</f>
        <v/>
      </c>
      <c r="T213" s="7"/>
      <c r="U213" s="8"/>
      <c r="V213" s="8"/>
      <c r="W213" s="8"/>
      <c r="X213" s="4"/>
      <c r="Y213" s="5"/>
    </row>
    <row r="214" customFormat="false" ht="15" hidden="false" customHeight="false" outlineLevel="0" collapsed="false">
      <c r="A214" s="9"/>
      <c r="B214" s="10"/>
      <c r="C214" s="5"/>
      <c r="D214" s="5"/>
      <c r="E214" s="5"/>
      <c r="F214" s="5"/>
      <c r="G214" s="5"/>
      <c r="H214" s="5"/>
      <c r="I214" s="9" t="str">
        <f aca="false">IF(H214="","",HYPERLINK("https://wa.me/55"&amp;SUBSTITUTE(SUBSTITUTE(SUBSTITUTE(SUBSTITUTE(H214,"(",""),")",""),"-","")," ",""),"Abrir"))</f>
        <v/>
      </c>
      <c r="J214" s="9"/>
      <c r="K214" s="5"/>
      <c r="L214" s="5"/>
      <c r="M214" s="6"/>
      <c r="N214" s="10" t="str">
        <f aca="false">IF(M214="","",WORKDAY(M214,3))</f>
        <v/>
      </c>
      <c r="O214" s="10" t="str">
        <f aca="false">IF(M214="","",WORKDAY(M214,7))</f>
        <v/>
      </c>
      <c r="P214" s="10" t="str">
        <f aca="false">IF(M214="","",WORKDAY(M214,30))</f>
        <v/>
      </c>
      <c r="Q214" s="10" t="str">
        <f aca="true">IF(M214="","",IF(OR(T214="Sim",COUNTIF({"FECHADO";"Perdido";"Descartado"},L214)&gt;0),"",IF(TODAY()&lt;N214,N214,IF(TODAY()&lt;O214,O214,IF(TODAY()&lt;=P214,P214,"")))))</f>
        <v/>
      </c>
      <c r="R214" s="9" t="str">
        <f aca="true">IF(C214="","",IF(COUNTIF({"FECHADO";"Perdido";"Descartado"},L214)&gt;0,"-",IF(M214="","INICIAR",IF(T214="Sim","RESPONDEU",IF(Q214="","ESGOTADO",IF(Q214&lt;TODAY(),"ATRASADO",IF(Q214=TODAY(),"HOJE","No prazo")))))))</f>
        <v/>
      </c>
      <c r="S214" s="9" t="str">
        <f aca="true">IF(M214="","",TODAY()-M214)</f>
        <v/>
      </c>
      <c r="T214" s="7"/>
      <c r="U214" s="11"/>
      <c r="V214" s="11"/>
      <c r="W214" s="11"/>
      <c r="X214" s="10"/>
      <c r="Y214" s="5"/>
    </row>
    <row r="215" customFormat="false" ht="15" hidden="false" customHeight="false" outlineLevel="0" collapsed="false">
      <c r="A215" s="3"/>
      <c r="B215" s="4"/>
      <c r="C215" s="5"/>
      <c r="D215" s="5"/>
      <c r="E215" s="5"/>
      <c r="F215" s="5"/>
      <c r="G215" s="5"/>
      <c r="H215" s="5"/>
      <c r="I215" s="3" t="str">
        <f aca="false">IF(H215="","",HYPERLINK("https://wa.me/55"&amp;SUBSTITUTE(SUBSTITUTE(SUBSTITUTE(SUBSTITUTE(H215,"(",""),")",""),"-","")," ",""),"Abrir"))</f>
        <v/>
      </c>
      <c r="J215" s="3"/>
      <c r="K215" s="5"/>
      <c r="L215" s="5"/>
      <c r="M215" s="6"/>
      <c r="N215" s="4" t="str">
        <f aca="false">IF(M215="","",WORKDAY(M215,3))</f>
        <v/>
      </c>
      <c r="O215" s="4" t="str">
        <f aca="false">IF(M215="","",WORKDAY(M215,7))</f>
        <v/>
      </c>
      <c r="P215" s="4" t="str">
        <f aca="false">IF(M215="","",WORKDAY(M215,30))</f>
        <v/>
      </c>
      <c r="Q215" s="4" t="str">
        <f aca="true">IF(M215="","",IF(OR(T215="Sim",COUNTIF({"FECHADO";"Perdido";"Descartado"},L215)&gt;0),"",IF(TODAY()&lt;N215,N215,IF(TODAY()&lt;O215,O215,IF(TODAY()&lt;=P215,P215,"")))))</f>
        <v/>
      </c>
      <c r="R215" s="3" t="str">
        <f aca="true">IF(C215="","",IF(COUNTIF({"FECHADO";"Perdido";"Descartado"},L215)&gt;0,"-",IF(M215="","INICIAR",IF(T215="Sim","RESPONDEU",IF(Q215="","ESGOTADO",IF(Q215&lt;TODAY(),"ATRASADO",IF(Q215=TODAY(),"HOJE","No prazo")))))))</f>
        <v/>
      </c>
      <c r="S215" s="3" t="str">
        <f aca="true">IF(M215="","",TODAY()-M215)</f>
        <v/>
      </c>
      <c r="T215" s="7"/>
      <c r="U215" s="8"/>
      <c r="V215" s="8"/>
      <c r="W215" s="8"/>
      <c r="X215" s="4"/>
      <c r="Y215" s="5"/>
    </row>
    <row r="216" customFormat="false" ht="15" hidden="false" customHeight="false" outlineLevel="0" collapsed="false">
      <c r="A216" s="9"/>
      <c r="B216" s="10"/>
      <c r="C216" s="5"/>
      <c r="D216" s="5"/>
      <c r="E216" s="5"/>
      <c r="F216" s="5"/>
      <c r="G216" s="5"/>
      <c r="H216" s="5"/>
      <c r="I216" s="9" t="str">
        <f aca="false">IF(H216="","",HYPERLINK("https://wa.me/55"&amp;SUBSTITUTE(SUBSTITUTE(SUBSTITUTE(SUBSTITUTE(H216,"(",""),")",""),"-","")," ",""),"Abrir"))</f>
        <v/>
      </c>
      <c r="J216" s="9"/>
      <c r="K216" s="5"/>
      <c r="L216" s="5"/>
      <c r="M216" s="6"/>
      <c r="N216" s="10" t="str">
        <f aca="false">IF(M216="","",WORKDAY(M216,3))</f>
        <v/>
      </c>
      <c r="O216" s="10" t="str">
        <f aca="false">IF(M216="","",WORKDAY(M216,7))</f>
        <v/>
      </c>
      <c r="P216" s="10" t="str">
        <f aca="false">IF(M216="","",WORKDAY(M216,30))</f>
        <v/>
      </c>
      <c r="Q216" s="10" t="str">
        <f aca="true">IF(M216="","",IF(OR(T216="Sim",COUNTIF({"FECHADO";"Perdido";"Descartado"},L216)&gt;0),"",IF(TODAY()&lt;N216,N216,IF(TODAY()&lt;O216,O216,IF(TODAY()&lt;=P216,P216,"")))))</f>
        <v/>
      </c>
      <c r="R216" s="9" t="str">
        <f aca="true">IF(C216="","",IF(COUNTIF({"FECHADO";"Perdido";"Descartado"},L216)&gt;0,"-",IF(M216="","INICIAR",IF(T216="Sim","RESPONDEU",IF(Q216="","ESGOTADO",IF(Q216&lt;TODAY(),"ATRASADO",IF(Q216=TODAY(),"HOJE","No prazo")))))))</f>
        <v/>
      </c>
      <c r="S216" s="9" t="str">
        <f aca="true">IF(M216="","",TODAY()-M216)</f>
        <v/>
      </c>
      <c r="T216" s="7"/>
      <c r="U216" s="11"/>
      <c r="V216" s="11"/>
      <c r="W216" s="11"/>
      <c r="X216" s="10"/>
      <c r="Y216" s="5"/>
    </row>
    <row r="217" customFormat="false" ht="15" hidden="false" customHeight="false" outlineLevel="0" collapsed="false">
      <c r="A217" s="3"/>
      <c r="B217" s="4"/>
      <c r="C217" s="5"/>
      <c r="D217" s="5"/>
      <c r="E217" s="5"/>
      <c r="F217" s="5"/>
      <c r="G217" s="5"/>
      <c r="H217" s="5"/>
      <c r="I217" s="3" t="str">
        <f aca="false">IF(H217="","",HYPERLINK("https://wa.me/55"&amp;SUBSTITUTE(SUBSTITUTE(SUBSTITUTE(SUBSTITUTE(H217,"(",""),")",""),"-","")," ",""),"Abrir"))</f>
        <v/>
      </c>
      <c r="J217" s="3"/>
      <c r="K217" s="5"/>
      <c r="L217" s="5"/>
      <c r="M217" s="6"/>
      <c r="N217" s="4" t="str">
        <f aca="false">IF(M217="","",WORKDAY(M217,3))</f>
        <v/>
      </c>
      <c r="O217" s="4" t="str">
        <f aca="false">IF(M217="","",WORKDAY(M217,7))</f>
        <v/>
      </c>
      <c r="P217" s="4" t="str">
        <f aca="false">IF(M217="","",WORKDAY(M217,30))</f>
        <v/>
      </c>
      <c r="Q217" s="4" t="str">
        <f aca="true">IF(M217="","",IF(OR(T217="Sim",COUNTIF({"FECHADO";"Perdido";"Descartado"},L217)&gt;0),"",IF(TODAY()&lt;N217,N217,IF(TODAY()&lt;O217,O217,IF(TODAY()&lt;=P217,P217,"")))))</f>
        <v/>
      </c>
      <c r="R217" s="3" t="str">
        <f aca="true">IF(C217="","",IF(COUNTIF({"FECHADO";"Perdido";"Descartado"},L217)&gt;0,"-",IF(M217="","INICIAR",IF(T217="Sim","RESPONDEU",IF(Q217="","ESGOTADO",IF(Q217&lt;TODAY(),"ATRASADO",IF(Q217=TODAY(),"HOJE","No prazo")))))))</f>
        <v/>
      </c>
      <c r="S217" s="3" t="str">
        <f aca="true">IF(M217="","",TODAY()-M217)</f>
        <v/>
      </c>
      <c r="T217" s="7"/>
      <c r="U217" s="8"/>
      <c r="V217" s="8"/>
      <c r="W217" s="8"/>
      <c r="X217" s="4"/>
      <c r="Y217" s="5"/>
    </row>
    <row r="218" customFormat="false" ht="15" hidden="false" customHeight="false" outlineLevel="0" collapsed="false">
      <c r="A218" s="9"/>
      <c r="B218" s="10"/>
      <c r="C218" s="5"/>
      <c r="D218" s="5"/>
      <c r="E218" s="5"/>
      <c r="F218" s="5"/>
      <c r="G218" s="5"/>
      <c r="H218" s="5"/>
      <c r="I218" s="9" t="str">
        <f aca="false">IF(H218="","",HYPERLINK("https://wa.me/55"&amp;SUBSTITUTE(SUBSTITUTE(SUBSTITUTE(SUBSTITUTE(H218,"(",""),")",""),"-","")," ",""),"Abrir"))</f>
        <v/>
      </c>
      <c r="J218" s="9"/>
      <c r="K218" s="5"/>
      <c r="L218" s="5"/>
      <c r="M218" s="6"/>
      <c r="N218" s="10" t="str">
        <f aca="false">IF(M218="","",WORKDAY(M218,3))</f>
        <v/>
      </c>
      <c r="O218" s="10" t="str">
        <f aca="false">IF(M218="","",WORKDAY(M218,7))</f>
        <v/>
      </c>
      <c r="P218" s="10" t="str">
        <f aca="false">IF(M218="","",WORKDAY(M218,30))</f>
        <v/>
      </c>
      <c r="Q218" s="10" t="str">
        <f aca="true">IF(M218="","",IF(OR(T218="Sim",COUNTIF({"FECHADO";"Perdido";"Descartado"},L218)&gt;0),"",IF(TODAY()&lt;N218,N218,IF(TODAY()&lt;O218,O218,IF(TODAY()&lt;=P218,P218,"")))))</f>
        <v/>
      </c>
      <c r="R218" s="9" t="str">
        <f aca="true">IF(C218="","",IF(COUNTIF({"FECHADO";"Perdido";"Descartado"},L218)&gt;0,"-",IF(M218="","INICIAR",IF(T218="Sim","RESPONDEU",IF(Q218="","ESGOTADO",IF(Q218&lt;TODAY(),"ATRASADO",IF(Q218=TODAY(),"HOJE","No prazo")))))))</f>
        <v/>
      </c>
      <c r="S218" s="9" t="str">
        <f aca="true">IF(M218="","",TODAY()-M218)</f>
        <v/>
      </c>
      <c r="T218" s="7"/>
      <c r="U218" s="11"/>
      <c r="V218" s="11"/>
      <c r="W218" s="11"/>
      <c r="X218" s="10"/>
      <c r="Y218" s="5"/>
    </row>
    <row r="219" customFormat="false" ht="15" hidden="false" customHeight="false" outlineLevel="0" collapsed="false">
      <c r="A219" s="3"/>
      <c r="B219" s="4"/>
      <c r="C219" s="5"/>
      <c r="D219" s="5"/>
      <c r="E219" s="5"/>
      <c r="F219" s="5"/>
      <c r="G219" s="5"/>
      <c r="H219" s="5"/>
      <c r="I219" s="3" t="str">
        <f aca="false">IF(H219="","",HYPERLINK("https://wa.me/55"&amp;SUBSTITUTE(SUBSTITUTE(SUBSTITUTE(SUBSTITUTE(H219,"(",""),")",""),"-","")," ",""),"Abrir"))</f>
        <v/>
      </c>
      <c r="J219" s="3"/>
      <c r="K219" s="5"/>
      <c r="L219" s="5"/>
      <c r="M219" s="6"/>
      <c r="N219" s="4" t="str">
        <f aca="false">IF(M219="","",WORKDAY(M219,3))</f>
        <v/>
      </c>
      <c r="O219" s="4" t="str">
        <f aca="false">IF(M219="","",WORKDAY(M219,7))</f>
        <v/>
      </c>
      <c r="P219" s="4" t="str">
        <f aca="false">IF(M219="","",WORKDAY(M219,30))</f>
        <v/>
      </c>
      <c r="Q219" s="4" t="str">
        <f aca="true">IF(M219="","",IF(OR(T219="Sim",COUNTIF({"FECHADO";"Perdido";"Descartado"},L219)&gt;0),"",IF(TODAY()&lt;N219,N219,IF(TODAY()&lt;O219,O219,IF(TODAY()&lt;=P219,P219,"")))))</f>
        <v/>
      </c>
      <c r="R219" s="3" t="str">
        <f aca="true">IF(C219="","",IF(COUNTIF({"FECHADO";"Perdido";"Descartado"},L219)&gt;0,"-",IF(M219="","INICIAR",IF(T219="Sim","RESPONDEU",IF(Q219="","ESGOTADO",IF(Q219&lt;TODAY(),"ATRASADO",IF(Q219=TODAY(),"HOJE","No prazo")))))))</f>
        <v/>
      </c>
      <c r="S219" s="3" t="str">
        <f aca="true">IF(M219="","",TODAY()-M219)</f>
        <v/>
      </c>
      <c r="T219" s="7"/>
      <c r="U219" s="8"/>
      <c r="V219" s="8"/>
      <c r="W219" s="8"/>
      <c r="X219" s="4"/>
      <c r="Y219" s="5"/>
    </row>
    <row r="220" customFormat="false" ht="15" hidden="false" customHeight="false" outlineLevel="0" collapsed="false">
      <c r="A220" s="9"/>
      <c r="B220" s="10"/>
      <c r="C220" s="5"/>
      <c r="D220" s="5"/>
      <c r="E220" s="5"/>
      <c r="F220" s="5"/>
      <c r="G220" s="5"/>
      <c r="H220" s="5"/>
      <c r="I220" s="9" t="str">
        <f aca="false">IF(H220="","",HYPERLINK("https://wa.me/55"&amp;SUBSTITUTE(SUBSTITUTE(SUBSTITUTE(SUBSTITUTE(H220,"(",""),")",""),"-","")," ",""),"Abrir"))</f>
        <v/>
      </c>
      <c r="J220" s="9"/>
      <c r="K220" s="5"/>
      <c r="L220" s="5"/>
      <c r="M220" s="6"/>
      <c r="N220" s="10" t="str">
        <f aca="false">IF(M220="","",WORKDAY(M220,3))</f>
        <v/>
      </c>
      <c r="O220" s="10" t="str">
        <f aca="false">IF(M220="","",WORKDAY(M220,7))</f>
        <v/>
      </c>
      <c r="P220" s="10" t="str">
        <f aca="false">IF(M220="","",WORKDAY(M220,30))</f>
        <v/>
      </c>
      <c r="Q220" s="10" t="str">
        <f aca="true">IF(M220="","",IF(OR(T220="Sim",COUNTIF({"FECHADO";"Perdido";"Descartado"},L220)&gt;0),"",IF(TODAY()&lt;N220,N220,IF(TODAY()&lt;O220,O220,IF(TODAY()&lt;=P220,P220,"")))))</f>
        <v/>
      </c>
      <c r="R220" s="9" t="str">
        <f aca="true">IF(C220="","",IF(COUNTIF({"FECHADO";"Perdido";"Descartado"},L220)&gt;0,"-",IF(M220="","INICIAR",IF(T220="Sim","RESPONDEU",IF(Q220="","ESGOTADO",IF(Q220&lt;TODAY(),"ATRASADO",IF(Q220=TODAY(),"HOJE","No prazo")))))))</f>
        <v/>
      </c>
      <c r="S220" s="9" t="str">
        <f aca="true">IF(M220="","",TODAY()-M220)</f>
        <v/>
      </c>
      <c r="T220" s="7"/>
      <c r="U220" s="11"/>
      <c r="V220" s="11"/>
      <c r="W220" s="11"/>
      <c r="X220" s="10"/>
      <c r="Y220" s="5"/>
    </row>
    <row r="221" customFormat="false" ht="15" hidden="false" customHeight="false" outlineLevel="0" collapsed="false">
      <c r="A221" s="3"/>
      <c r="B221" s="4"/>
      <c r="C221" s="5"/>
      <c r="D221" s="5"/>
      <c r="E221" s="5"/>
      <c r="F221" s="5"/>
      <c r="G221" s="5"/>
      <c r="H221" s="5"/>
      <c r="I221" s="3" t="str">
        <f aca="false">IF(H221="","",HYPERLINK("https://wa.me/55"&amp;SUBSTITUTE(SUBSTITUTE(SUBSTITUTE(SUBSTITUTE(H221,"(",""),")",""),"-","")," ",""),"Abrir"))</f>
        <v/>
      </c>
      <c r="J221" s="3"/>
      <c r="K221" s="5"/>
      <c r="L221" s="5"/>
      <c r="M221" s="6"/>
      <c r="N221" s="4" t="str">
        <f aca="false">IF(M221="","",WORKDAY(M221,3))</f>
        <v/>
      </c>
      <c r="O221" s="4" t="str">
        <f aca="false">IF(M221="","",WORKDAY(M221,7))</f>
        <v/>
      </c>
      <c r="P221" s="4" t="str">
        <f aca="false">IF(M221="","",WORKDAY(M221,30))</f>
        <v/>
      </c>
      <c r="Q221" s="4" t="str">
        <f aca="true">IF(M221="","",IF(OR(T221="Sim",COUNTIF({"FECHADO";"Perdido";"Descartado"},L221)&gt;0),"",IF(TODAY()&lt;N221,N221,IF(TODAY()&lt;O221,O221,IF(TODAY()&lt;=P221,P221,"")))))</f>
        <v/>
      </c>
      <c r="R221" s="3" t="str">
        <f aca="true">IF(C221="","",IF(COUNTIF({"FECHADO";"Perdido";"Descartado"},L221)&gt;0,"-",IF(M221="","INICIAR",IF(T221="Sim","RESPONDEU",IF(Q221="","ESGOTADO",IF(Q221&lt;TODAY(),"ATRASADO",IF(Q221=TODAY(),"HOJE","No prazo")))))))</f>
        <v/>
      </c>
      <c r="S221" s="3" t="str">
        <f aca="true">IF(M221="","",TODAY()-M221)</f>
        <v/>
      </c>
      <c r="T221" s="7"/>
      <c r="U221" s="8"/>
      <c r="V221" s="8"/>
      <c r="W221" s="8"/>
      <c r="X221" s="4"/>
      <c r="Y221" s="5"/>
    </row>
    <row r="222" customFormat="false" ht="15" hidden="false" customHeight="false" outlineLevel="0" collapsed="false">
      <c r="A222" s="9"/>
      <c r="B222" s="10"/>
      <c r="C222" s="5"/>
      <c r="D222" s="5"/>
      <c r="E222" s="5"/>
      <c r="F222" s="5"/>
      <c r="G222" s="5"/>
      <c r="H222" s="5"/>
      <c r="I222" s="9" t="str">
        <f aca="false">IF(H222="","",HYPERLINK("https://wa.me/55"&amp;SUBSTITUTE(SUBSTITUTE(SUBSTITUTE(SUBSTITUTE(H222,"(",""),")",""),"-","")," ",""),"Abrir"))</f>
        <v/>
      </c>
      <c r="J222" s="9"/>
      <c r="K222" s="5"/>
      <c r="L222" s="5"/>
      <c r="M222" s="6"/>
      <c r="N222" s="10" t="str">
        <f aca="false">IF(M222="","",WORKDAY(M222,3))</f>
        <v/>
      </c>
      <c r="O222" s="10" t="str">
        <f aca="false">IF(M222="","",WORKDAY(M222,7))</f>
        <v/>
      </c>
      <c r="P222" s="10" t="str">
        <f aca="false">IF(M222="","",WORKDAY(M222,30))</f>
        <v/>
      </c>
      <c r="Q222" s="10" t="str">
        <f aca="true">IF(M222="","",IF(OR(T222="Sim",COUNTIF({"FECHADO";"Perdido";"Descartado"},L222)&gt;0),"",IF(TODAY()&lt;N222,N222,IF(TODAY()&lt;O222,O222,IF(TODAY()&lt;=P222,P222,"")))))</f>
        <v/>
      </c>
      <c r="R222" s="9" t="str">
        <f aca="true">IF(C222="","",IF(COUNTIF({"FECHADO";"Perdido";"Descartado"},L222)&gt;0,"-",IF(M222="","INICIAR",IF(T222="Sim","RESPONDEU",IF(Q222="","ESGOTADO",IF(Q222&lt;TODAY(),"ATRASADO",IF(Q222=TODAY(),"HOJE","No prazo")))))))</f>
        <v/>
      </c>
      <c r="S222" s="9" t="str">
        <f aca="true">IF(M222="","",TODAY()-M222)</f>
        <v/>
      </c>
      <c r="T222" s="7"/>
      <c r="U222" s="11"/>
      <c r="V222" s="11"/>
      <c r="W222" s="11"/>
      <c r="X222" s="10"/>
      <c r="Y222" s="5"/>
    </row>
    <row r="223" customFormat="false" ht="15" hidden="false" customHeight="false" outlineLevel="0" collapsed="false">
      <c r="A223" s="3"/>
      <c r="B223" s="4"/>
      <c r="C223" s="5"/>
      <c r="D223" s="5"/>
      <c r="E223" s="5"/>
      <c r="F223" s="5"/>
      <c r="G223" s="5"/>
      <c r="H223" s="5"/>
      <c r="I223" s="3" t="str">
        <f aca="false">IF(H223="","",HYPERLINK("https://wa.me/55"&amp;SUBSTITUTE(SUBSTITUTE(SUBSTITUTE(SUBSTITUTE(H223,"(",""),")",""),"-","")," ",""),"Abrir"))</f>
        <v/>
      </c>
      <c r="J223" s="3"/>
      <c r="K223" s="5"/>
      <c r="L223" s="5"/>
      <c r="M223" s="6"/>
      <c r="N223" s="4" t="str">
        <f aca="false">IF(M223="","",WORKDAY(M223,3))</f>
        <v/>
      </c>
      <c r="O223" s="4" t="str">
        <f aca="false">IF(M223="","",WORKDAY(M223,7))</f>
        <v/>
      </c>
      <c r="P223" s="4" t="str">
        <f aca="false">IF(M223="","",WORKDAY(M223,30))</f>
        <v/>
      </c>
      <c r="Q223" s="4" t="str">
        <f aca="true">IF(M223="","",IF(OR(T223="Sim",COUNTIF({"FECHADO";"Perdido";"Descartado"},L223)&gt;0),"",IF(TODAY()&lt;N223,N223,IF(TODAY()&lt;O223,O223,IF(TODAY()&lt;=P223,P223,"")))))</f>
        <v/>
      </c>
      <c r="R223" s="3" t="str">
        <f aca="true">IF(C223="","",IF(COUNTIF({"FECHADO";"Perdido";"Descartado"},L223)&gt;0,"-",IF(M223="","INICIAR",IF(T223="Sim","RESPONDEU",IF(Q223="","ESGOTADO",IF(Q223&lt;TODAY(),"ATRASADO",IF(Q223=TODAY(),"HOJE","No prazo")))))))</f>
        <v/>
      </c>
      <c r="S223" s="3" t="str">
        <f aca="true">IF(M223="","",TODAY()-M223)</f>
        <v/>
      </c>
      <c r="T223" s="7"/>
      <c r="U223" s="8"/>
      <c r="V223" s="8"/>
      <c r="W223" s="8"/>
      <c r="X223" s="4"/>
      <c r="Y223" s="5"/>
    </row>
    <row r="224" customFormat="false" ht="15" hidden="false" customHeight="false" outlineLevel="0" collapsed="false">
      <c r="A224" s="9"/>
      <c r="B224" s="10"/>
      <c r="C224" s="5"/>
      <c r="D224" s="5"/>
      <c r="E224" s="5"/>
      <c r="F224" s="5"/>
      <c r="G224" s="5"/>
      <c r="H224" s="5"/>
      <c r="I224" s="9" t="str">
        <f aca="false">IF(H224="","",HYPERLINK("https://wa.me/55"&amp;SUBSTITUTE(SUBSTITUTE(SUBSTITUTE(SUBSTITUTE(H224,"(",""),")",""),"-","")," ",""),"Abrir"))</f>
        <v/>
      </c>
      <c r="J224" s="9"/>
      <c r="K224" s="5"/>
      <c r="L224" s="5"/>
      <c r="M224" s="6"/>
      <c r="N224" s="10" t="str">
        <f aca="false">IF(M224="","",WORKDAY(M224,3))</f>
        <v/>
      </c>
      <c r="O224" s="10" t="str">
        <f aca="false">IF(M224="","",WORKDAY(M224,7))</f>
        <v/>
      </c>
      <c r="P224" s="10" t="str">
        <f aca="false">IF(M224="","",WORKDAY(M224,30))</f>
        <v/>
      </c>
      <c r="Q224" s="10" t="str">
        <f aca="true">IF(M224="","",IF(OR(T224="Sim",COUNTIF({"FECHADO";"Perdido";"Descartado"},L224)&gt;0),"",IF(TODAY()&lt;N224,N224,IF(TODAY()&lt;O224,O224,IF(TODAY()&lt;=P224,P224,"")))))</f>
        <v/>
      </c>
      <c r="R224" s="9" t="str">
        <f aca="true">IF(C224="","",IF(COUNTIF({"FECHADO";"Perdido";"Descartado"},L224)&gt;0,"-",IF(M224="","INICIAR",IF(T224="Sim","RESPONDEU",IF(Q224="","ESGOTADO",IF(Q224&lt;TODAY(),"ATRASADO",IF(Q224=TODAY(),"HOJE","No prazo")))))))</f>
        <v/>
      </c>
      <c r="S224" s="9" t="str">
        <f aca="true">IF(M224="","",TODAY()-M224)</f>
        <v/>
      </c>
      <c r="T224" s="7"/>
      <c r="U224" s="11"/>
      <c r="V224" s="11"/>
      <c r="W224" s="11"/>
      <c r="X224" s="10"/>
      <c r="Y224" s="5"/>
    </row>
    <row r="225" customFormat="false" ht="15" hidden="false" customHeight="false" outlineLevel="0" collapsed="false">
      <c r="A225" s="3"/>
      <c r="B225" s="4"/>
      <c r="C225" s="5"/>
      <c r="D225" s="5"/>
      <c r="E225" s="5"/>
      <c r="F225" s="5"/>
      <c r="G225" s="5"/>
      <c r="H225" s="5"/>
      <c r="I225" s="3" t="str">
        <f aca="false">IF(H225="","",HYPERLINK("https://wa.me/55"&amp;SUBSTITUTE(SUBSTITUTE(SUBSTITUTE(SUBSTITUTE(H225,"(",""),")",""),"-","")," ",""),"Abrir"))</f>
        <v/>
      </c>
      <c r="J225" s="3"/>
      <c r="K225" s="5"/>
      <c r="L225" s="5"/>
      <c r="M225" s="6"/>
      <c r="N225" s="4" t="str">
        <f aca="false">IF(M225="","",WORKDAY(M225,3))</f>
        <v/>
      </c>
      <c r="O225" s="4" t="str">
        <f aca="false">IF(M225="","",WORKDAY(M225,7))</f>
        <v/>
      </c>
      <c r="P225" s="4" t="str">
        <f aca="false">IF(M225="","",WORKDAY(M225,30))</f>
        <v/>
      </c>
      <c r="Q225" s="4" t="str">
        <f aca="true">IF(M225="","",IF(OR(T225="Sim",COUNTIF({"FECHADO";"Perdido";"Descartado"},L225)&gt;0),"",IF(TODAY()&lt;N225,N225,IF(TODAY()&lt;O225,O225,IF(TODAY()&lt;=P225,P225,"")))))</f>
        <v/>
      </c>
      <c r="R225" s="3" t="str">
        <f aca="true">IF(C225="","",IF(COUNTIF({"FECHADO";"Perdido";"Descartado"},L225)&gt;0,"-",IF(M225="","INICIAR",IF(T225="Sim","RESPONDEU",IF(Q225="","ESGOTADO",IF(Q225&lt;TODAY(),"ATRASADO",IF(Q225=TODAY(),"HOJE","No prazo")))))))</f>
        <v/>
      </c>
      <c r="S225" s="3" t="str">
        <f aca="true">IF(M225="","",TODAY()-M225)</f>
        <v/>
      </c>
      <c r="T225" s="7"/>
      <c r="U225" s="8"/>
      <c r="V225" s="8"/>
      <c r="W225" s="8"/>
      <c r="X225" s="4"/>
      <c r="Y225" s="5"/>
    </row>
    <row r="226" customFormat="false" ht="15" hidden="false" customHeight="false" outlineLevel="0" collapsed="false">
      <c r="A226" s="9"/>
      <c r="B226" s="10"/>
      <c r="C226" s="5"/>
      <c r="D226" s="5"/>
      <c r="E226" s="5"/>
      <c r="F226" s="5"/>
      <c r="G226" s="5"/>
      <c r="H226" s="5"/>
      <c r="I226" s="9" t="str">
        <f aca="false">IF(H226="","",HYPERLINK("https://wa.me/55"&amp;SUBSTITUTE(SUBSTITUTE(SUBSTITUTE(SUBSTITUTE(H226,"(",""),")",""),"-","")," ",""),"Abrir"))</f>
        <v/>
      </c>
      <c r="J226" s="9"/>
      <c r="K226" s="5"/>
      <c r="L226" s="5"/>
      <c r="M226" s="6"/>
      <c r="N226" s="10" t="str">
        <f aca="false">IF(M226="","",WORKDAY(M226,3))</f>
        <v/>
      </c>
      <c r="O226" s="10" t="str">
        <f aca="false">IF(M226="","",WORKDAY(M226,7))</f>
        <v/>
      </c>
      <c r="P226" s="10" t="str">
        <f aca="false">IF(M226="","",WORKDAY(M226,30))</f>
        <v/>
      </c>
      <c r="Q226" s="10" t="str">
        <f aca="true">IF(M226="","",IF(OR(T226="Sim",COUNTIF({"FECHADO";"Perdido";"Descartado"},L226)&gt;0),"",IF(TODAY()&lt;N226,N226,IF(TODAY()&lt;O226,O226,IF(TODAY()&lt;=P226,P226,"")))))</f>
        <v/>
      </c>
      <c r="R226" s="9" t="str">
        <f aca="true">IF(C226="","",IF(COUNTIF({"FECHADO";"Perdido";"Descartado"},L226)&gt;0,"-",IF(M226="","INICIAR",IF(T226="Sim","RESPONDEU",IF(Q226="","ESGOTADO",IF(Q226&lt;TODAY(),"ATRASADO",IF(Q226=TODAY(),"HOJE","No prazo")))))))</f>
        <v/>
      </c>
      <c r="S226" s="9" t="str">
        <f aca="true">IF(M226="","",TODAY()-M226)</f>
        <v/>
      </c>
      <c r="T226" s="7"/>
      <c r="U226" s="11"/>
      <c r="V226" s="11"/>
      <c r="W226" s="11"/>
      <c r="X226" s="10"/>
      <c r="Y226" s="5"/>
    </row>
    <row r="227" customFormat="false" ht="15" hidden="false" customHeight="false" outlineLevel="0" collapsed="false">
      <c r="A227" s="3"/>
      <c r="B227" s="4"/>
      <c r="C227" s="5"/>
      <c r="D227" s="5"/>
      <c r="E227" s="5"/>
      <c r="F227" s="5"/>
      <c r="G227" s="5"/>
      <c r="H227" s="5"/>
      <c r="I227" s="3" t="str">
        <f aca="false">IF(H227="","",HYPERLINK("https://wa.me/55"&amp;SUBSTITUTE(SUBSTITUTE(SUBSTITUTE(SUBSTITUTE(H227,"(",""),")",""),"-","")," ",""),"Abrir"))</f>
        <v/>
      </c>
      <c r="J227" s="3"/>
      <c r="K227" s="5"/>
      <c r="L227" s="5"/>
      <c r="M227" s="6"/>
      <c r="N227" s="4" t="str">
        <f aca="false">IF(M227="","",WORKDAY(M227,3))</f>
        <v/>
      </c>
      <c r="O227" s="4" t="str">
        <f aca="false">IF(M227="","",WORKDAY(M227,7))</f>
        <v/>
      </c>
      <c r="P227" s="4" t="str">
        <f aca="false">IF(M227="","",WORKDAY(M227,30))</f>
        <v/>
      </c>
      <c r="Q227" s="4" t="str">
        <f aca="true">IF(M227="","",IF(OR(T227="Sim",COUNTIF({"FECHADO";"Perdido";"Descartado"},L227)&gt;0),"",IF(TODAY()&lt;N227,N227,IF(TODAY()&lt;O227,O227,IF(TODAY()&lt;=P227,P227,"")))))</f>
        <v/>
      </c>
      <c r="R227" s="3" t="str">
        <f aca="true">IF(C227="","",IF(COUNTIF({"FECHADO";"Perdido";"Descartado"},L227)&gt;0,"-",IF(M227="","INICIAR",IF(T227="Sim","RESPONDEU",IF(Q227="","ESGOTADO",IF(Q227&lt;TODAY(),"ATRASADO",IF(Q227=TODAY(),"HOJE","No prazo")))))))</f>
        <v/>
      </c>
      <c r="S227" s="3" t="str">
        <f aca="true">IF(M227="","",TODAY()-M227)</f>
        <v/>
      </c>
      <c r="T227" s="7"/>
      <c r="U227" s="8"/>
      <c r="V227" s="8"/>
      <c r="W227" s="8"/>
      <c r="X227" s="4"/>
      <c r="Y227" s="5"/>
    </row>
    <row r="228" customFormat="false" ht="15" hidden="false" customHeight="false" outlineLevel="0" collapsed="false">
      <c r="A228" s="9"/>
      <c r="B228" s="10"/>
      <c r="C228" s="5"/>
      <c r="D228" s="5"/>
      <c r="E228" s="5"/>
      <c r="F228" s="5"/>
      <c r="G228" s="5"/>
      <c r="H228" s="5"/>
      <c r="I228" s="9" t="str">
        <f aca="false">IF(H228="","",HYPERLINK("https://wa.me/55"&amp;SUBSTITUTE(SUBSTITUTE(SUBSTITUTE(SUBSTITUTE(H228,"(",""),")",""),"-","")," ",""),"Abrir"))</f>
        <v/>
      </c>
      <c r="J228" s="9"/>
      <c r="K228" s="5"/>
      <c r="L228" s="5"/>
      <c r="M228" s="6"/>
      <c r="N228" s="10" t="str">
        <f aca="false">IF(M228="","",WORKDAY(M228,3))</f>
        <v/>
      </c>
      <c r="O228" s="10" t="str">
        <f aca="false">IF(M228="","",WORKDAY(M228,7))</f>
        <v/>
      </c>
      <c r="P228" s="10" t="str">
        <f aca="false">IF(M228="","",WORKDAY(M228,30))</f>
        <v/>
      </c>
      <c r="Q228" s="10" t="str">
        <f aca="true">IF(M228="","",IF(OR(T228="Sim",COUNTIF({"FECHADO";"Perdido";"Descartado"},L228)&gt;0),"",IF(TODAY()&lt;N228,N228,IF(TODAY()&lt;O228,O228,IF(TODAY()&lt;=P228,P228,"")))))</f>
        <v/>
      </c>
      <c r="R228" s="9" t="str">
        <f aca="true">IF(C228="","",IF(COUNTIF({"FECHADO";"Perdido";"Descartado"},L228)&gt;0,"-",IF(M228="","INICIAR",IF(T228="Sim","RESPONDEU",IF(Q228="","ESGOTADO",IF(Q228&lt;TODAY(),"ATRASADO",IF(Q228=TODAY(),"HOJE","No prazo")))))))</f>
        <v/>
      </c>
      <c r="S228" s="9" t="str">
        <f aca="true">IF(M228="","",TODAY()-M228)</f>
        <v/>
      </c>
      <c r="T228" s="7"/>
      <c r="U228" s="11"/>
      <c r="V228" s="11"/>
      <c r="W228" s="11"/>
      <c r="X228" s="10"/>
      <c r="Y228" s="5"/>
    </row>
    <row r="229" customFormat="false" ht="15" hidden="false" customHeight="false" outlineLevel="0" collapsed="false">
      <c r="A229" s="3"/>
      <c r="B229" s="4"/>
      <c r="C229" s="5"/>
      <c r="D229" s="5"/>
      <c r="E229" s="5"/>
      <c r="F229" s="5"/>
      <c r="G229" s="5"/>
      <c r="H229" s="5"/>
      <c r="I229" s="3" t="str">
        <f aca="false">IF(H229="","",HYPERLINK("https://wa.me/55"&amp;SUBSTITUTE(SUBSTITUTE(SUBSTITUTE(SUBSTITUTE(H229,"(",""),")",""),"-","")," ",""),"Abrir"))</f>
        <v/>
      </c>
      <c r="J229" s="3"/>
      <c r="K229" s="5"/>
      <c r="L229" s="5"/>
      <c r="M229" s="6"/>
      <c r="N229" s="4" t="str">
        <f aca="false">IF(M229="","",WORKDAY(M229,3))</f>
        <v/>
      </c>
      <c r="O229" s="4" t="str">
        <f aca="false">IF(M229="","",WORKDAY(M229,7))</f>
        <v/>
      </c>
      <c r="P229" s="4" t="str">
        <f aca="false">IF(M229="","",WORKDAY(M229,30))</f>
        <v/>
      </c>
      <c r="Q229" s="4" t="str">
        <f aca="true">IF(M229="","",IF(OR(T229="Sim",COUNTIF({"FECHADO";"Perdido";"Descartado"},L229)&gt;0),"",IF(TODAY()&lt;N229,N229,IF(TODAY()&lt;O229,O229,IF(TODAY()&lt;=P229,P229,"")))))</f>
        <v/>
      </c>
      <c r="R229" s="3" t="str">
        <f aca="true">IF(C229="","",IF(COUNTIF({"FECHADO";"Perdido";"Descartado"},L229)&gt;0,"-",IF(M229="","INICIAR",IF(T229="Sim","RESPONDEU",IF(Q229="","ESGOTADO",IF(Q229&lt;TODAY(),"ATRASADO",IF(Q229=TODAY(),"HOJE","No prazo")))))))</f>
        <v/>
      </c>
      <c r="S229" s="3" t="str">
        <f aca="true">IF(M229="","",TODAY()-M229)</f>
        <v/>
      </c>
      <c r="T229" s="7"/>
      <c r="U229" s="8"/>
      <c r="V229" s="8"/>
      <c r="W229" s="8"/>
      <c r="X229" s="4"/>
      <c r="Y229" s="5"/>
    </row>
    <row r="230" customFormat="false" ht="15" hidden="false" customHeight="false" outlineLevel="0" collapsed="false">
      <c r="A230" s="9"/>
      <c r="B230" s="10"/>
      <c r="C230" s="5"/>
      <c r="D230" s="5"/>
      <c r="E230" s="5"/>
      <c r="F230" s="5"/>
      <c r="G230" s="5"/>
      <c r="H230" s="5"/>
      <c r="I230" s="9" t="str">
        <f aca="false">IF(H230="","",HYPERLINK("https://wa.me/55"&amp;SUBSTITUTE(SUBSTITUTE(SUBSTITUTE(SUBSTITUTE(H230,"(",""),")",""),"-","")," ",""),"Abrir"))</f>
        <v/>
      </c>
      <c r="J230" s="9"/>
      <c r="K230" s="5"/>
      <c r="L230" s="5"/>
      <c r="M230" s="6"/>
      <c r="N230" s="10" t="str">
        <f aca="false">IF(M230="","",WORKDAY(M230,3))</f>
        <v/>
      </c>
      <c r="O230" s="10" t="str">
        <f aca="false">IF(M230="","",WORKDAY(M230,7))</f>
        <v/>
      </c>
      <c r="P230" s="10" t="str">
        <f aca="false">IF(M230="","",WORKDAY(M230,30))</f>
        <v/>
      </c>
      <c r="Q230" s="10" t="str">
        <f aca="true">IF(M230="","",IF(OR(T230="Sim",COUNTIF({"FECHADO";"Perdido";"Descartado"},L230)&gt;0),"",IF(TODAY()&lt;N230,N230,IF(TODAY()&lt;O230,O230,IF(TODAY()&lt;=P230,P230,"")))))</f>
        <v/>
      </c>
      <c r="R230" s="9" t="str">
        <f aca="true">IF(C230="","",IF(COUNTIF({"FECHADO";"Perdido";"Descartado"},L230)&gt;0,"-",IF(M230="","INICIAR",IF(T230="Sim","RESPONDEU",IF(Q230="","ESGOTADO",IF(Q230&lt;TODAY(),"ATRASADO",IF(Q230=TODAY(),"HOJE","No prazo")))))))</f>
        <v/>
      </c>
      <c r="S230" s="9" t="str">
        <f aca="true">IF(M230="","",TODAY()-M230)</f>
        <v/>
      </c>
      <c r="T230" s="7"/>
      <c r="U230" s="11"/>
      <c r="V230" s="11"/>
      <c r="W230" s="11"/>
      <c r="X230" s="10"/>
      <c r="Y230" s="5"/>
    </row>
    <row r="231" customFormat="false" ht="15" hidden="false" customHeight="false" outlineLevel="0" collapsed="false">
      <c r="A231" s="3"/>
      <c r="B231" s="4"/>
      <c r="C231" s="5"/>
      <c r="D231" s="5"/>
      <c r="E231" s="5"/>
      <c r="F231" s="5"/>
      <c r="G231" s="5"/>
      <c r="H231" s="5"/>
      <c r="I231" s="3" t="str">
        <f aca="false">IF(H231="","",HYPERLINK("https://wa.me/55"&amp;SUBSTITUTE(SUBSTITUTE(SUBSTITUTE(SUBSTITUTE(H231,"(",""),")",""),"-","")," ",""),"Abrir"))</f>
        <v/>
      </c>
      <c r="J231" s="3"/>
      <c r="K231" s="5"/>
      <c r="L231" s="5"/>
      <c r="M231" s="6"/>
      <c r="N231" s="4" t="str">
        <f aca="false">IF(M231="","",WORKDAY(M231,3))</f>
        <v/>
      </c>
      <c r="O231" s="4" t="str">
        <f aca="false">IF(M231="","",WORKDAY(M231,7))</f>
        <v/>
      </c>
      <c r="P231" s="4" t="str">
        <f aca="false">IF(M231="","",WORKDAY(M231,30))</f>
        <v/>
      </c>
      <c r="Q231" s="4" t="str">
        <f aca="true">IF(M231="","",IF(OR(T231="Sim",COUNTIF({"FECHADO";"Perdido";"Descartado"},L231)&gt;0),"",IF(TODAY()&lt;N231,N231,IF(TODAY()&lt;O231,O231,IF(TODAY()&lt;=P231,P231,"")))))</f>
        <v/>
      </c>
      <c r="R231" s="3" t="str">
        <f aca="true">IF(C231="","",IF(COUNTIF({"FECHADO";"Perdido";"Descartado"},L231)&gt;0,"-",IF(M231="","INICIAR",IF(T231="Sim","RESPONDEU",IF(Q231="","ESGOTADO",IF(Q231&lt;TODAY(),"ATRASADO",IF(Q231=TODAY(),"HOJE","No prazo")))))))</f>
        <v/>
      </c>
      <c r="S231" s="3" t="str">
        <f aca="true">IF(M231="","",TODAY()-M231)</f>
        <v/>
      </c>
      <c r="T231" s="7"/>
      <c r="U231" s="8"/>
      <c r="V231" s="8"/>
      <c r="W231" s="8"/>
      <c r="X231" s="4"/>
      <c r="Y231" s="5"/>
    </row>
    <row r="232" customFormat="false" ht="15" hidden="false" customHeight="false" outlineLevel="0" collapsed="false">
      <c r="A232" s="9"/>
      <c r="B232" s="10"/>
      <c r="C232" s="5"/>
      <c r="D232" s="5"/>
      <c r="E232" s="5"/>
      <c r="F232" s="5"/>
      <c r="G232" s="5"/>
      <c r="H232" s="5"/>
      <c r="I232" s="9" t="str">
        <f aca="false">IF(H232="","",HYPERLINK("https://wa.me/55"&amp;SUBSTITUTE(SUBSTITUTE(SUBSTITUTE(SUBSTITUTE(H232,"(",""),")",""),"-","")," ",""),"Abrir"))</f>
        <v/>
      </c>
      <c r="J232" s="9"/>
      <c r="K232" s="5"/>
      <c r="L232" s="5"/>
      <c r="M232" s="6"/>
      <c r="N232" s="10" t="str">
        <f aca="false">IF(M232="","",WORKDAY(M232,3))</f>
        <v/>
      </c>
      <c r="O232" s="10" t="str">
        <f aca="false">IF(M232="","",WORKDAY(M232,7))</f>
        <v/>
      </c>
      <c r="P232" s="10" t="str">
        <f aca="false">IF(M232="","",WORKDAY(M232,30))</f>
        <v/>
      </c>
      <c r="Q232" s="10" t="str">
        <f aca="true">IF(M232="","",IF(OR(T232="Sim",COUNTIF({"FECHADO";"Perdido";"Descartado"},L232)&gt;0),"",IF(TODAY()&lt;N232,N232,IF(TODAY()&lt;O232,O232,IF(TODAY()&lt;=P232,P232,"")))))</f>
        <v/>
      </c>
      <c r="R232" s="9" t="str">
        <f aca="true">IF(C232="","",IF(COUNTIF({"FECHADO";"Perdido";"Descartado"},L232)&gt;0,"-",IF(M232="","INICIAR",IF(T232="Sim","RESPONDEU",IF(Q232="","ESGOTADO",IF(Q232&lt;TODAY(),"ATRASADO",IF(Q232=TODAY(),"HOJE","No prazo")))))))</f>
        <v/>
      </c>
      <c r="S232" s="9" t="str">
        <f aca="true">IF(M232="","",TODAY()-M232)</f>
        <v/>
      </c>
      <c r="T232" s="7"/>
      <c r="U232" s="11"/>
      <c r="V232" s="11"/>
      <c r="W232" s="11"/>
      <c r="X232" s="10"/>
      <c r="Y232" s="5"/>
    </row>
    <row r="233" customFormat="false" ht="15" hidden="false" customHeight="false" outlineLevel="0" collapsed="false">
      <c r="A233" s="3"/>
      <c r="B233" s="4"/>
      <c r="C233" s="5"/>
      <c r="D233" s="5"/>
      <c r="E233" s="5"/>
      <c r="F233" s="5"/>
      <c r="G233" s="5"/>
      <c r="H233" s="5"/>
      <c r="I233" s="3" t="str">
        <f aca="false">IF(H233="","",HYPERLINK("https://wa.me/55"&amp;SUBSTITUTE(SUBSTITUTE(SUBSTITUTE(SUBSTITUTE(H233,"(",""),")",""),"-","")," ",""),"Abrir"))</f>
        <v/>
      </c>
      <c r="J233" s="3"/>
      <c r="K233" s="5"/>
      <c r="L233" s="5"/>
      <c r="M233" s="6"/>
      <c r="N233" s="4" t="str">
        <f aca="false">IF(M233="","",WORKDAY(M233,3))</f>
        <v/>
      </c>
      <c r="O233" s="4" t="str">
        <f aca="false">IF(M233="","",WORKDAY(M233,7))</f>
        <v/>
      </c>
      <c r="P233" s="4" t="str">
        <f aca="false">IF(M233="","",WORKDAY(M233,30))</f>
        <v/>
      </c>
      <c r="Q233" s="4" t="str">
        <f aca="true">IF(M233="","",IF(OR(T233="Sim",COUNTIF({"FECHADO";"Perdido";"Descartado"},L233)&gt;0),"",IF(TODAY()&lt;N233,N233,IF(TODAY()&lt;O233,O233,IF(TODAY()&lt;=P233,P233,"")))))</f>
        <v/>
      </c>
      <c r="R233" s="3" t="str">
        <f aca="true">IF(C233="","",IF(COUNTIF({"FECHADO";"Perdido";"Descartado"},L233)&gt;0,"-",IF(M233="","INICIAR",IF(T233="Sim","RESPONDEU",IF(Q233="","ESGOTADO",IF(Q233&lt;TODAY(),"ATRASADO",IF(Q233=TODAY(),"HOJE","No prazo")))))))</f>
        <v/>
      </c>
      <c r="S233" s="3" t="str">
        <f aca="true">IF(M233="","",TODAY()-M233)</f>
        <v/>
      </c>
      <c r="T233" s="7"/>
      <c r="U233" s="8"/>
      <c r="V233" s="8"/>
      <c r="W233" s="8"/>
      <c r="X233" s="4"/>
      <c r="Y233" s="5"/>
    </row>
    <row r="234" customFormat="false" ht="15" hidden="false" customHeight="false" outlineLevel="0" collapsed="false">
      <c r="A234" s="9"/>
      <c r="B234" s="10"/>
      <c r="C234" s="5"/>
      <c r="D234" s="5"/>
      <c r="E234" s="5"/>
      <c r="F234" s="5"/>
      <c r="G234" s="5"/>
      <c r="H234" s="5"/>
      <c r="I234" s="9" t="str">
        <f aca="false">IF(H234="","",HYPERLINK("https://wa.me/55"&amp;SUBSTITUTE(SUBSTITUTE(SUBSTITUTE(SUBSTITUTE(H234,"(",""),")",""),"-","")," ",""),"Abrir"))</f>
        <v/>
      </c>
      <c r="J234" s="9"/>
      <c r="K234" s="5"/>
      <c r="L234" s="5"/>
      <c r="M234" s="6"/>
      <c r="N234" s="10" t="str">
        <f aca="false">IF(M234="","",WORKDAY(M234,3))</f>
        <v/>
      </c>
      <c r="O234" s="10" t="str">
        <f aca="false">IF(M234="","",WORKDAY(M234,7))</f>
        <v/>
      </c>
      <c r="P234" s="10" t="str">
        <f aca="false">IF(M234="","",WORKDAY(M234,30))</f>
        <v/>
      </c>
      <c r="Q234" s="10" t="str">
        <f aca="true">IF(M234="","",IF(OR(T234="Sim",COUNTIF({"FECHADO";"Perdido";"Descartado"},L234)&gt;0),"",IF(TODAY()&lt;N234,N234,IF(TODAY()&lt;O234,O234,IF(TODAY()&lt;=P234,P234,"")))))</f>
        <v/>
      </c>
      <c r="R234" s="9" t="str">
        <f aca="true">IF(C234="","",IF(COUNTIF({"FECHADO";"Perdido";"Descartado"},L234)&gt;0,"-",IF(M234="","INICIAR",IF(T234="Sim","RESPONDEU",IF(Q234="","ESGOTADO",IF(Q234&lt;TODAY(),"ATRASADO",IF(Q234=TODAY(),"HOJE","No prazo")))))))</f>
        <v/>
      </c>
      <c r="S234" s="9" t="str">
        <f aca="true">IF(M234="","",TODAY()-M234)</f>
        <v/>
      </c>
      <c r="T234" s="7"/>
      <c r="U234" s="11"/>
      <c r="V234" s="11"/>
      <c r="W234" s="11"/>
      <c r="X234" s="10"/>
      <c r="Y234" s="5"/>
    </row>
    <row r="235" customFormat="false" ht="15" hidden="false" customHeight="false" outlineLevel="0" collapsed="false">
      <c r="A235" s="3"/>
      <c r="B235" s="4"/>
      <c r="C235" s="5"/>
      <c r="D235" s="5"/>
      <c r="E235" s="5"/>
      <c r="F235" s="5"/>
      <c r="G235" s="5"/>
      <c r="H235" s="5"/>
      <c r="I235" s="3" t="str">
        <f aca="false">IF(H235="","",HYPERLINK("https://wa.me/55"&amp;SUBSTITUTE(SUBSTITUTE(SUBSTITUTE(SUBSTITUTE(H235,"(",""),")",""),"-","")," ",""),"Abrir"))</f>
        <v/>
      </c>
      <c r="J235" s="3"/>
      <c r="K235" s="5"/>
      <c r="L235" s="5"/>
      <c r="M235" s="6"/>
      <c r="N235" s="4" t="str">
        <f aca="false">IF(M235="","",WORKDAY(M235,3))</f>
        <v/>
      </c>
      <c r="O235" s="4" t="str">
        <f aca="false">IF(M235="","",WORKDAY(M235,7))</f>
        <v/>
      </c>
      <c r="P235" s="4" t="str">
        <f aca="false">IF(M235="","",WORKDAY(M235,30))</f>
        <v/>
      </c>
      <c r="Q235" s="4" t="str">
        <f aca="true">IF(M235="","",IF(OR(T235="Sim",COUNTIF({"FECHADO";"Perdido";"Descartado"},L235)&gt;0),"",IF(TODAY()&lt;N235,N235,IF(TODAY()&lt;O235,O235,IF(TODAY()&lt;=P235,P235,"")))))</f>
        <v/>
      </c>
      <c r="R235" s="3" t="str">
        <f aca="true">IF(C235="","",IF(COUNTIF({"FECHADO";"Perdido";"Descartado"},L235)&gt;0,"-",IF(M235="","INICIAR",IF(T235="Sim","RESPONDEU",IF(Q235="","ESGOTADO",IF(Q235&lt;TODAY(),"ATRASADO",IF(Q235=TODAY(),"HOJE","No prazo")))))))</f>
        <v/>
      </c>
      <c r="S235" s="3" t="str">
        <f aca="true">IF(M235="","",TODAY()-M235)</f>
        <v/>
      </c>
      <c r="T235" s="7"/>
      <c r="U235" s="8"/>
      <c r="V235" s="8"/>
      <c r="W235" s="8"/>
      <c r="X235" s="4"/>
      <c r="Y235" s="5"/>
    </row>
    <row r="236" customFormat="false" ht="15" hidden="false" customHeight="false" outlineLevel="0" collapsed="false">
      <c r="A236" s="9"/>
      <c r="B236" s="10"/>
      <c r="C236" s="5"/>
      <c r="D236" s="5"/>
      <c r="E236" s="5"/>
      <c r="F236" s="5"/>
      <c r="G236" s="5"/>
      <c r="H236" s="5"/>
      <c r="I236" s="9" t="str">
        <f aca="false">IF(H236="","",HYPERLINK("https://wa.me/55"&amp;SUBSTITUTE(SUBSTITUTE(SUBSTITUTE(SUBSTITUTE(H236,"(",""),")",""),"-","")," ",""),"Abrir"))</f>
        <v/>
      </c>
      <c r="J236" s="9"/>
      <c r="K236" s="5"/>
      <c r="L236" s="5"/>
      <c r="M236" s="6"/>
      <c r="N236" s="10" t="str">
        <f aca="false">IF(M236="","",WORKDAY(M236,3))</f>
        <v/>
      </c>
      <c r="O236" s="10" t="str">
        <f aca="false">IF(M236="","",WORKDAY(M236,7))</f>
        <v/>
      </c>
      <c r="P236" s="10" t="str">
        <f aca="false">IF(M236="","",WORKDAY(M236,30))</f>
        <v/>
      </c>
      <c r="Q236" s="10" t="str">
        <f aca="true">IF(M236="","",IF(OR(T236="Sim",COUNTIF({"FECHADO";"Perdido";"Descartado"},L236)&gt;0),"",IF(TODAY()&lt;N236,N236,IF(TODAY()&lt;O236,O236,IF(TODAY()&lt;=P236,P236,"")))))</f>
        <v/>
      </c>
      <c r="R236" s="9" t="str">
        <f aca="true">IF(C236="","",IF(COUNTIF({"FECHADO";"Perdido";"Descartado"},L236)&gt;0,"-",IF(M236="","INICIAR",IF(T236="Sim","RESPONDEU",IF(Q236="","ESGOTADO",IF(Q236&lt;TODAY(),"ATRASADO",IF(Q236=TODAY(),"HOJE","No prazo")))))))</f>
        <v/>
      </c>
      <c r="S236" s="9" t="str">
        <f aca="true">IF(M236="","",TODAY()-M236)</f>
        <v/>
      </c>
      <c r="T236" s="7"/>
      <c r="U236" s="11"/>
      <c r="V236" s="11"/>
      <c r="W236" s="11"/>
      <c r="X236" s="10"/>
      <c r="Y236" s="5"/>
    </row>
    <row r="237" customFormat="false" ht="15" hidden="false" customHeight="false" outlineLevel="0" collapsed="false">
      <c r="A237" s="3"/>
      <c r="B237" s="4"/>
      <c r="C237" s="5"/>
      <c r="D237" s="5"/>
      <c r="E237" s="5"/>
      <c r="F237" s="5"/>
      <c r="G237" s="5"/>
      <c r="H237" s="5"/>
      <c r="I237" s="3" t="str">
        <f aca="false">IF(H237="","",HYPERLINK("https://wa.me/55"&amp;SUBSTITUTE(SUBSTITUTE(SUBSTITUTE(SUBSTITUTE(H237,"(",""),")",""),"-","")," ",""),"Abrir"))</f>
        <v/>
      </c>
      <c r="J237" s="3"/>
      <c r="K237" s="5"/>
      <c r="L237" s="5"/>
      <c r="M237" s="6"/>
      <c r="N237" s="4" t="str">
        <f aca="false">IF(M237="","",WORKDAY(M237,3))</f>
        <v/>
      </c>
      <c r="O237" s="4" t="str">
        <f aca="false">IF(M237="","",WORKDAY(M237,7))</f>
        <v/>
      </c>
      <c r="P237" s="4" t="str">
        <f aca="false">IF(M237="","",WORKDAY(M237,30))</f>
        <v/>
      </c>
      <c r="Q237" s="4" t="str">
        <f aca="true">IF(M237="","",IF(OR(T237="Sim",COUNTIF({"FECHADO";"Perdido";"Descartado"},L237)&gt;0),"",IF(TODAY()&lt;N237,N237,IF(TODAY()&lt;O237,O237,IF(TODAY()&lt;=P237,P237,"")))))</f>
        <v/>
      </c>
      <c r="R237" s="3" t="str">
        <f aca="true">IF(C237="","",IF(COUNTIF({"FECHADO";"Perdido";"Descartado"},L237)&gt;0,"-",IF(M237="","INICIAR",IF(T237="Sim","RESPONDEU",IF(Q237="","ESGOTADO",IF(Q237&lt;TODAY(),"ATRASADO",IF(Q237=TODAY(),"HOJE","No prazo")))))))</f>
        <v/>
      </c>
      <c r="S237" s="3" t="str">
        <f aca="true">IF(M237="","",TODAY()-M237)</f>
        <v/>
      </c>
      <c r="T237" s="7"/>
      <c r="U237" s="8"/>
      <c r="V237" s="8"/>
      <c r="W237" s="8"/>
      <c r="X237" s="4"/>
      <c r="Y237" s="5"/>
    </row>
    <row r="238" customFormat="false" ht="15" hidden="false" customHeight="false" outlineLevel="0" collapsed="false">
      <c r="A238" s="9"/>
      <c r="B238" s="10"/>
      <c r="C238" s="5"/>
      <c r="D238" s="5"/>
      <c r="E238" s="5"/>
      <c r="F238" s="5"/>
      <c r="G238" s="5"/>
      <c r="H238" s="5"/>
      <c r="I238" s="9" t="str">
        <f aca="false">IF(H238="","",HYPERLINK("https://wa.me/55"&amp;SUBSTITUTE(SUBSTITUTE(SUBSTITUTE(SUBSTITUTE(H238,"(",""),")",""),"-","")," ",""),"Abrir"))</f>
        <v/>
      </c>
      <c r="J238" s="9"/>
      <c r="K238" s="5"/>
      <c r="L238" s="5"/>
      <c r="M238" s="6"/>
      <c r="N238" s="10" t="str">
        <f aca="false">IF(M238="","",WORKDAY(M238,3))</f>
        <v/>
      </c>
      <c r="O238" s="10" t="str">
        <f aca="false">IF(M238="","",WORKDAY(M238,7))</f>
        <v/>
      </c>
      <c r="P238" s="10" t="str">
        <f aca="false">IF(M238="","",WORKDAY(M238,30))</f>
        <v/>
      </c>
      <c r="Q238" s="10" t="str">
        <f aca="true">IF(M238="","",IF(OR(T238="Sim",COUNTIF({"FECHADO";"Perdido";"Descartado"},L238)&gt;0),"",IF(TODAY()&lt;N238,N238,IF(TODAY()&lt;O238,O238,IF(TODAY()&lt;=P238,P238,"")))))</f>
        <v/>
      </c>
      <c r="R238" s="9" t="str">
        <f aca="true">IF(C238="","",IF(COUNTIF({"FECHADO";"Perdido";"Descartado"},L238)&gt;0,"-",IF(M238="","INICIAR",IF(T238="Sim","RESPONDEU",IF(Q238="","ESGOTADO",IF(Q238&lt;TODAY(),"ATRASADO",IF(Q238=TODAY(),"HOJE","No prazo")))))))</f>
        <v/>
      </c>
      <c r="S238" s="9" t="str">
        <f aca="true">IF(M238="","",TODAY()-M238)</f>
        <v/>
      </c>
      <c r="T238" s="7"/>
      <c r="U238" s="11"/>
      <c r="V238" s="11"/>
      <c r="W238" s="11"/>
      <c r="X238" s="10"/>
      <c r="Y238" s="5"/>
    </row>
    <row r="239" customFormat="false" ht="15" hidden="false" customHeight="false" outlineLevel="0" collapsed="false">
      <c r="A239" s="3"/>
      <c r="B239" s="4"/>
      <c r="C239" s="5"/>
      <c r="D239" s="5"/>
      <c r="E239" s="5"/>
      <c r="F239" s="5"/>
      <c r="G239" s="5"/>
      <c r="H239" s="5"/>
      <c r="I239" s="3" t="str">
        <f aca="false">IF(H239="","",HYPERLINK("https://wa.me/55"&amp;SUBSTITUTE(SUBSTITUTE(SUBSTITUTE(SUBSTITUTE(H239,"(",""),")",""),"-","")," ",""),"Abrir"))</f>
        <v/>
      </c>
      <c r="J239" s="3"/>
      <c r="K239" s="5"/>
      <c r="L239" s="5"/>
      <c r="M239" s="6"/>
      <c r="N239" s="4" t="str">
        <f aca="false">IF(M239="","",WORKDAY(M239,3))</f>
        <v/>
      </c>
      <c r="O239" s="4" t="str">
        <f aca="false">IF(M239="","",WORKDAY(M239,7))</f>
        <v/>
      </c>
      <c r="P239" s="4" t="str">
        <f aca="false">IF(M239="","",WORKDAY(M239,30))</f>
        <v/>
      </c>
      <c r="Q239" s="4" t="str">
        <f aca="true">IF(M239="","",IF(OR(T239="Sim",COUNTIF({"FECHADO";"Perdido";"Descartado"},L239)&gt;0),"",IF(TODAY()&lt;N239,N239,IF(TODAY()&lt;O239,O239,IF(TODAY()&lt;=P239,P239,"")))))</f>
        <v/>
      </c>
      <c r="R239" s="3" t="str">
        <f aca="true">IF(C239="","",IF(COUNTIF({"FECHADO";"Perdido";"Descartado"},L239)&gt;0,"-",IF(M239="","INICIAR",IF(T239="Sim","RESPONDEU",IF(Q239="","ESGOTADO",IF(Q239&lt;TODAY(),"ATRASADO",IF(Q239=TODAY(),"HOJE","No prazo")))))))</f>
        <v/>
      </c>
      <c r="S239" s="3" t="str">
        <f aca="true">IF(M239="","",TODAY()-M239)</f>
        <v/>
      </c>
      <c r="T239" s="7"/>
      <c r="U239" s="8"/>
      <c r="V239" s="8"/>
      <c r="W239" s="8"/>
      <c r="X239" s="4"/>
      <c r="Y239" s="5"/>
    </row>
    <row r="240" customFormat="false" ht="15" hidden="false" customHeight="false" outlineLevel="0" collapsed="false">
      <c r="A240" s="9"/>
      <c r="B240" s="10"/>
      <c r="C240" s="5"/>
      <c r="D240" s="5"/>
      <c r="E240" s="5"/>
      <c r="F240" s="5"/>
      <c r="G240" s="5"/>
      <c r="H240" s="5"/>
      <c r="I240" s="9" t="str">
        <f aca="false">IF(H240="","",HYPERLINK("https://wa.me/55"&amp;SUBSTITUTE(SUBSTITUTE(SUBSTITUTE(SUBSTITUTE(H240,"(",""),")",""),"-","")," ",""),"Abrir"))</f>
        <v/>
      </c>
      <c r="J240" s="9"/>
      <c r="K240" s="5"/>
      <c r="L240" s="5"/>
      <c r="M240" s="6"/>
      <c r="N240" s="10" t="str">
        <f aca="false">IF(M240="","",WORKDAY(M240,3))</f>
        <v/>
      </c>
      <c r="O240" s="10" t="str">
        <f aca="false">IF(M240="","",WORKDAY(M240,7))</f>
        <v/>
      </c>
      <c r="P240" s="10" t="str">
        <f aca="false">IF(M240="","",WORKDAY(M240,30))</f>
        <v/>
      </c>
      <c r="Q240" s="10" t="str">
        <f aca="true">IF(M240="","",IF(OR(T240="Sim",COUNTIF({"FECHADO";"Perdido";"Descartado"},L240)&gt;0),"",IF(TODAY()&lt;N240,N240,IF(TODAY()&lt;O240,O240,IF(TODAY()&lt;=P240,P240,"")))))</f>
        <v/>
      </c>
      <c r="R240" s="9" t="str">
        <f aca="true">IF(C240="","",IF(COUNTIF({"FECHADO";"Perdido";"Descartado"},L240)&gt;0,"-",IF(M240="","INICIAR",IF(T240="Sim","RESPONDEU",IF(Q240="","ESGOTADO",IF(Q240&lt;TODAY(),"ATRASADO",IF(Q240=TODAY(),"HOJE","No prazo")))))))</f>
        <v/>
      </c>
      <c r="S240" s="9" t="str">
        <f aca="true">IF(M240="","",TODAY()-M240)</f>
        <v/>
      </c>
      <c r="T240" s="7"/>
      <c r="U240" s="11"/>
      <c r="V240" s="11"/>
      <c r="W240" s="11"/>
      <c r="X240" s="10"/>
      <c r="Y240" s="5"/>
    </row>
    <row r="241" customFormat="false" ht="15" hidden="false" customHeight="false" outlineLevel="0" collapsed="false">
      <c r="A241" s="3"/>
      <c r="B241" s="4"/>
      <c r="C241" s="5"/>
      <c r="D241" s="5"/>
      <c r="E241" s="5"/>
      <c r="F241" s="5"/>
      <c r="G241" s="5"/>
      <c r="H241" s="5"/>
      <c r="I241" s="3" t="str">
        <f aca="false">IF(H241="","",HYPERLINK("https://wa.me/55"&amp;SUBSTITUTE(SUBSTITUTE(SUBSTITUTE(SUBSTITUTE(H241,"(",""),")",""),"-","")," ",""),"Abrir"))</f>
        <v/>
      </c>
      <c r="J241" s="3"/>
      <c r="K241" s="5"/>
      <c r="L241" s="5"/>
      <c r="M241" s="6"/>
      <c r="N241" s="4" t="str">
        <f aca="false">IF(M241="","",WORKDAY(M241,3))</f>
        <v/>
      </c>
      <c r="O241" s="4" t="str">
        <f aca="false">IF(M241="","",WORKDAY(M241,7))</f>
        <v/>
      </c>
      <c r="P241" s="4" t="str">
        <f aca="false">IF(M241="","",WORKDAY(M241,30))</f>
        <v/>
      </c>
      <c r="Q241" s="4" t="str">
        <f aca="true">IF(M241="","",IF(OR(T241="Sim",COUNTIF({"FECHADO";"Perdido";"Descartado"},L241)&gt;0),"",IF(TODAY()&lt;N241,N241,IF(TODAY()&lt;O241,O241,IF(TODAY()&lt;=P241,P241,"")))))</f>
        <v/>
      </c>
      <c r="R241" s="3" t="str">
        <f aca="true">IF(C241="","",IF(COUNTIF({"FECHADO";"Perdido";"Descartado"},L241)&gt;0,"-",IF(M241="","INICIAR",IF(T241="Sim","RESPONDEU",IF(Q241="","ESGOTADO",IF(Q241&lt;TODAY(),"ATRASADO",IF(Q241=TODAY(),"HOJE","No prazo")))))))</f>
        <v/>
      </c>
      <c r="S241" s="3" t="str">
        <f aca="true">IF(M241="","",TODAY()-M241)</f>
        <v/>
      </c>
      <c r="T241" s="7"/>
      <c r="U241" s="8"/>
      <c r="V241" s="8"/>
      <c r="W241" s="8"/>
      <c r="X241" s="4"/>
      <c r="Y241" s="5"/>
    </row>
    <row r="242" customFormat="false" ht="15" hidden="false" customHeight="false" outlineLevel="0" collapsed="false">
      <c r="A242" s="9"/>
      <c r="B242" s="10"/>
      <c r="C242" s="5"/>
      <c r="D242" s="5"/>
      <c r="E242" s="5"/>
      <c r="F242" s="5"/>
      <c r="G242" s="5"/>
      <c r="H242" s="5"/>
      <c r="I242" s="9" t="str">
        <f aca="false">IF(H242="","",HYPERLINK("https://wa.me/55"&amp;SUBSTITUTE(SUBSTITUTE(SUBSTITUTE(SUBSTITUTE(H242,"(",""),")",""),"-","")," ",""),"Abrir"))</f>
        <v/>
      </c>
      <c r="J242" s="9"/>
      <c r="K242" s="5"/>
      <c r="L242" s="5"/>
      <c r="M242" s="6"/>
      <c r="N242" s="10" t="str">
        <f aca="false">IF(M242="","",WORKDAY(M242,3))</f>
        <v/>
      </c>
      <c r="O242" s="10" t="str">
        <f aca="false">IF(M242="","",WORKDAY(M242,7))</f>
        <v/>
      </c>
      <c r="P242" s="10" t="str">
        <f aca="false">IF(M242="","",WORKDAY(M242,30))</f>
        <v/>
      </c>
      <c r="Q242" s="10" t="str">
        <f aca="true">IF(M242="","",IF(OR(T242="Sim",COUNTIF({"FECHADO";"Perdido";"Descartado"},L242)&gt;0),"",IF(TODAY()&lt;N242,N242,IF(TODAY()&lt;O242,O242,IF(TODAY()&lt;=P242,P242,"")))))</f>
        <v/>
      </c>
      <c r="R242" s="9" t="str">
        <f aca="true">IF(C242="","",IF(COUNTIF({"FECHADO";"Perdido";"Descartado"},L242)&gt;0,"-",IF(M242="","INICIAR",IF(T242="Sim","RESPONDEU",IF(Q242="","ESGOTADO",IF(Q242&lt;TODAY(),"ATRASADO",IF(Q242=TODAY(),"HOJE","No prazo")))))))</f>
        <v/>
      </c>
      <c r="S242" s="9" t="str">
        <f aca="true">IF(M242="","",TODAY()-M242)</f>
        <v/>
      </c>
      <c r="T242" s="7"/>
      <c r="U242" s="11"/>
      <c r="V242" s="11"/>
      <c r="W242" s="11"/>
      <c r="X242" s="10"/>
      <c r="Y242" s="5"/>
    </row>
    <row r="243" customFormat="false" ht="15" hidden="false" customHeight="false" outlineLevel="0" collapsed="false">
      <c r="A243" s="3"/>
      <c r="B243" s="4"/>
      <c r="C243" s="5"/>
      <c r="D243" s="5"/>
      <c r="E243" s="5"/>
      <c r="F243" s="5"/>
      <c r="G243" s="5"/>
      <c r="H243" s="5"/>
      <c r="I243" s="3" t="str">
        <f aca="false">IF(H243="","",HYPERLINK("https://wa.me/55"&amp;SUBSTITUTE(SUBSTITUTE(SUBSTITUTE(SUBSTITUTE(H243,"(",""),")",""),"-","")," ",""),"Abrir"))</f>
        <v/>
      </c>
      <c r="J243" s="3"/>
      <c r="K243" s="5"/>
      <c r="L243" s="5"/>
      <c r="M243" s="6"/>
      <c r="N243" s="4" t="str">
        <f aca="false">IF(M243="","",WORKDAY(M243,3))</f>
        <v/>
      </c>
      <c r="O243" s="4" t="str">
        <f aca="false">IF(M243="","",WORKDAY(M243,7))</f>
        <v/>
      </c>
      <c r="P243" s="4" t="str">
        <f aca="false">IF(M243="","",WORKDAY(M243,30))</f>
        <v/>
      </c>
      <c r="Q243" s="4" t="str">
        <f aca="true">IF(M243="","",IF(OR(T243="Sim",COUNTIF({"FECHADO";"Perdido";"Descartado"},L243)&gt;0),"",IF(TODAY()&lt;N243,N243,IF(TODAY()&lt;O243,O243,IF(TODAY()&lt;=P243,P243,"")))))</f>
        <v/>
      </c>
      <c r="R243" s="3" t="str">
        <f aca="true">IF(C243="","",IF(COUNTIF({"FECHADO";"Perdido";"Descartado"},L243)&gt;0,"-",IF(M243="","INICIAR",IF(T243="Sim","RESPONDEU",IF(Q243="","ESGOTADO",IF(Q243&lt;TODAY(),"ATRASADO",IF(Q243=TODAY(),"HOJE","No prazo")))))))</f>
        <v/>
      </c>
      <c r="S243" s="3" t="str">
        <f aca="true">IF(M243="","",TODAY()-M243)</f>
        <v/>
      </c>
      <c r="T243" s="7"/>
      <c r="U243" s="8"/>
      <c r="V243" s="8"/>
      <c r="W243" s="8"/>
      <c r="X243" s="4"/>
      <c r="Y243" s="5"/>
    </row>
    <row r="244" customFormat="false" ht="15" hidden="false" customHeight="false" outlineLevel="0" collapsed="false">
      <c r="A244" s="9"/>
      <c r="B244" s="10"/>
      <c r="C244" s="5"/>
      <c r="D244" s="5"/>
      <c r="E244" s="5"/>
      <c r="F244" s="5"/>
      <c r="G244" s="5"/>
      <c r="H244" s="5"/>
      <c r="I244" s="9" t="str">
        <f aca="false">IF(H244="","",HYPERLINK("https://wa.me/55"&amp;SUBSTITUTE(SUBSTITUTE(SUBSTITUTE(SUBSTITUTE(H244,"(",""),")",""),"-","")," ",""),"Abrir"))</f>
        <v/>
      </c>
      <c r="J244" s="9"/>
      <c r="K244" s="5"/>
      <c r="L244" s="5"/>
      <c r="M244" s="6"/>
      <c r="N244" s="10" t="str">
        <f aca="false">IF(M244="","",WORKDAY(M244,3))</f>
        <v/>
      </c>
      <c r="O244" s="10" t="str">
        <f aca="false">IF(M244="","",WORKDAY(M244,7))</f>
        <v/>
      </c>
      <c r="P244" s="10" t="str">
        <f aca="false">IF(M244="","",WORKDAY(M244,30))</f>
        <v/>
      </c>
      <c r="Q244" s="10" t="str">
        <f aca="true">IF(M244="","",IF(OR(T244="Sim",COUNTIF({"FECHADO";"Perdido";"Descartado"},L244)&gt;0),"",IF(TODAY()&lt;N244,N244,IF(TODAY()&lt;O244,O244,IF(TODAY()&lt;=P244,P244,"")))))</f>
        <v/>
      </c>
      <c r="R244" s="9" t="str">
        <f aca="true">IF(C244="","",IF(COUNTIF({"FECHADO";"Perdido";"Descartado"},L244)&gt;0,"-",IF(M244="","INICIAR",IF(T244="Sim","RESPONDEU",IF(Q244="","ESGOTADO",IF(Q244&lt;TODAY(),"ATRASADO",IF(Q244=TODAY(),"HOJE","No prazo")))))))</f>
        <v/>
      </c>
      <c r="S244" s="9" t="str">
        <f aca="true">IF(M244="","",TODAY()-M244)</f>
        <v/>
      </c>
      <c r="T244" s="7"/>
      <c r="U244" s="11"/>
      <c r="V244" s="11"/>
      <c r="W244" s="11"/>
      <c r="X244" s="10"/>
      <c r="Y244" s="5"/>
    </row>
    <row r="245" customFormat="false" ht="15" hidden="false" customHeight="false" outlineLevel="0" collapsed="false">
      <c r="A245" s="3"/>
      <c r="B245" s="4"/>
      <c r="C245" s="5"/>
      <c r="D245" s="5"/>
      <c r="E245" s="5"/>
      <c r="F245" s="5"/>
      <c r="G245" s="5"/>
      <c r="H245" s="5"/>
      <c r="I245" s="3" t="str">
        <f aca="false">IF(H245="","",HYPERLINK("https://wa.me/55"&amp;SUBSTITUTE(SUBSTITUTE(SUBSTITUTE(SUBSTITUTE(H245,"(",""),")",""),"-","")," ",""),"Abrir"))</f>
        <v/>
      </c>
      <c r="J245" s="3"/>
      <c r="K245" s="5"/>
      <c r="L245" s="5"/>
      <c r="M245" s="6"/>
      <c r="N245" s="4" t="str">
        <f aca="false">IF(M245="","",WORKDAY(M245,3))</f>
        <v/>
      </c>
      <c r="O245" s="4" t="str">
        <f aca="false">IF(M245="","",WORKDAY(M245,7))</f>
        <v/>
      </c>
      <c r="P245" s="4" t="str">
        <f aca="false">IF(M245="","",WORKDAY(M245,30))</f>
        <v/>
      </c>
      <c r="Q245" s="4" t="str">
        <f aca="true">IF(M245="","",IF(OR(T245="Sim",COUNTIF({"FECHADO";"Perdido";"Descartado"},L245)&gt;0),"",IF(TODAY()&lt;N245,N245,IF(TODAY()&lt;O245,O245,IF(TODAY()&lt;=P245,P245,"")))))</f>
        <v/>
      </c>
      <c r="R245" s="3" t="str">
        <f aca="true">IF(C245="","",IF(COUNTIF({"FECHADO";"Perdido";"Descartado"},L245)&gt;0,"-",IF(M245="","INICIAR",IF(T245="Sim","RESPONDEU",IF(Q245="","ESGOTADO",IF(Q245&lt;TODAY(),"ATRASADO",IF(Q245=TODAY(),"HOJE","No prazo")))))))</f>
        <v/>
      </c>
      <c r="S245" s="3" t="str">
        <f aca="true">IF(M245="","",TODAY()-M245)</f>
        <v/>
      </c>
      <c r="T245" s="7"/>
      <c r="U245" s="8"/>
      <c r="V245" s="8"/>
      <c r="W245" s="8"/>
      <c r="X245" s="4"/>
      <c r="Y245" s="5"/>
    </row>
    <row r="246" customFormat="false" ht="15" hidden="false" customHeight="false" outlineLevel="0" collapsed="false">
      <c r="A246" s="9"/>
      <c r="B246" s="10"/>
      <c r="C246" s="5"/>
      <c r="D246" s="5"/>
      <c r="E246" s="5"/>
      <c r="F246" s="5"/>
      <c r="G246" s="5"/>
      <c r="H246" s="5"/>
      <c r="I246" s="9" t="str">
        <f aca="false">IF(H246="","",HYPERLINK("https://wa.me/55"&amp;SUBSTITUTE(SUBSTITUTE(SUBSTITUTE(SUBSTITUTE(H246,"(",""),")",""),"-","")," ",""),"Abrir"))</f>
        <v/>
      </c>
      <c r="J246" s="9"/>
      <c r="K246" s="5"/>
      <c r="L246" s="5"/>
      <c r="M246" s="6"/>
      <c r="N246" s="10" t="str">
        <f aca="false">IF(M246="","",WORKDAY(M246,3))</f>
        <v/>
      </c>
      <c r="O246" s="10" t="str">
        <f aca="false">IF(M246="","",WORKDAY(M246,7))</f>
        <v/>
      </c>
      <c r="P246" s="10" t="str">
        <f aca="false">IF(M246="","",WORKDAY(M246,30))</f>
        <v/>
      </c>
      <c r="Q246" s="10" t="str">
        <f aca="true">IF(M246="","",IF(OR(T246="Sim",COUNTIF({"FECHADO";"Perdido";"Descartado"},L246)&gt;0),"",IF(TODAY()&lt;N246,N246,IF(TODAY()&lt;O246,O246,IF(TODAY()&lt;=P246,P246,"")))))</f>
        <v/>
      </c>
      <c r="R246" s="9" t="str">
        <f aca="true">IF(C246="","",IF(COUNTIF({"FECHADO";"Perdido";"Descartado"},L246)&gt;0,"-",IF(M246="","INICIAR",IF(T246="Sim","RESPONDEU",IF(Q246="","ESGOTADO",IF(Q246&lt;TODAY(),"ATRASADO",IF(Q246=TODAY(),"HOJE","No prazo")))))))</f>
        <v/>
      </c>
      <c r="S246" s="9" t="str">
        <f aca="true">IF(M246="","",TODAY()-M246)</f>
        <v/>
      </c>
      <c r="T246" s="7"/>
      <c r="U246" s="11"/>
      <c r="V246" s="11"/>
      <c r="W246" s="11"/>
      <c r="X246" s="10"/>
      <c r="Y246" s="5"/>
    </row>
    <row r="247" customFormat="false" ht="15" hidden="false" customHeight="false" outlineLevel="0" collapsed="false">
      <c r="A247" s="3"/>
      <c r="B247" s="4"/>
      <c r="C247" s="5"/>
      <c r="D247" s="5"/>
      <c r="E247" s="5"/>
      <c r="F247" s="5"/>
      <c r="G247" s="5"/>
      <c r="H247" s="5"/>
      <c r="I247" s="3" t="str">
        <f aca="false">IF(H247="","",HYPERLINK("https://wa.me/55"&amp;SUBSTITUTE(SUBSTITUTE(SUBSTITUTE(SUBSTITUTE(H247,"(",""),")",""),"-","")," ",""),"Abrir"))</f>
        <v/>
      </c>
      <c r="J247" s="3"/>
      <c r="K247" s="5"/>
      <c r="L247" s="5"/>
      <c r="M247" s="6"/>
      <c r="N247" s="4" t="str">
        <f aca="false">IF(M247="","",WORKDAY(M247,3))</f>
        <v/>
      </c>
      <c r="O247" s="4" t="str">
        <f aca="false">IF(M247="","",WORKDAY(M247,7))</f>
        <v/>
      </c>
      <c r="P247" s="4" t="str">
        <f aca="false">IF(M247="","",WORKDAY(M247,30))</f>
        <v/>
      </c>
      <c r="Q247" s="4" t="str">
        <f aca="true">IF(M247="","",IF(OR(T247="Sim",COUNTIF({"FECHADO";"Perdido";"Descartado"},L247)&gt;0),"",IF(TODAY()&lt;N247,N247,IF(TODAY()&lt;O247,O247,IF(TODAY()&lt;=P247,P247,"")))))</f>
        <v/>
      </c>
      <c r="R247" s="3" t="str">
        <f aca="true">IF(C247="","",IF(COUNTIF({"FECHADO";"Perdido";"Descartado"},L247)&gt;0,"-",IF(M247="","INICIAR",IF(T247="Sim","RESPONDEU",IF(Q247="","ESGOTADO",IF(Q247&lt;TODAY(),"ATRASADO",IF(Q247=TODAY(),"HOJE","No prazo")))))))</f>
        <v/>
      </c>
      <c r="S247" s="3" t="str">
        <f aca="true">IF(M247="","",TODAY()-M247)</f>
        <v/>
      </c>
      <c r="T247" s="7"/>
      <c r="U247" s="8"/>
      <c r="V247" s="8"/>
      <c r="W247" s="8"/>
      <c r="X247" s="4"/>
      <c r="Y247" s="5"/>
    </row>
    <row r="248" customFormat="false" ht="15" hidden="false" customHeight="false" outlineLevel="0" collapsed="false">
      <c r="A248" s="9"/>
      <c r="B248" s="10"/>
      <c r="C248" s="5"/>
      <c r="D248" s="5"/>
      <c r="E248" s="5"/>
      <c r="F248" s="5"/>
      <c r="G248" s="5"/>
      <c r="H248" s="5"/>
      <c r="I248" s="9" t="str">
        <f aca="false">IF(H248="","",HYPERLINK("https://wa.me/55"&amp;SUBSTITUTE(SUBSTITUTE(SUBSTITUTE(SUBSTITUTE(H248,"(",""),")",""),"-","")," ",""),"Abrir"))</f>
        <v/>
      </c>
      <c r="J248" s="9"/>
      <c r="K248" s="5"/>
      <c r="L248" s="5"/>
      <c r="M248" s="6"/>
      <c r="N248" s="10" t="str">
        <f aca="false">IF(M248="","",WORKDAY(M248,3))</f>
        <v/>
      </c>
      <c r="O248" s="10" t="str">
        <f aca="false">IF(M248="","",WORKDAY(M248,7))</f>
        <v/>
      </c>
      <c r="P248" s="10" t="str">
        <f aca="false">IF(M248="","",WORKDAY(M248,30))</f>
        <v/>
      </c>
      <c r="Q248" s="10" t="str">
        <f aca="true">IF(M248="","",IF(OR(T248="Sim",COUNTIF({"FECHADO";"Perdido";"Descartado"},L248)&gt;0),"",IF(TODAY()&lt;N248,N248,IF(TODAY()&lt;O248,O248,IF(TODAY()&lt;=P248,P248,"")))))</f>
        <v/>
      </c>
      <c r="R248" s="9" t="str">
        <f aca="true">IF(C248="","",IF(COUNTIF({"FECHADO";"Perdido";"Descartado"},L248)&gt;0,"-",IF(M248="","INICIAR",IF(T248="Sim","RESPONDEU",IF(Q248="","ESGOTADO",IF(Q248&lt;TODAY(),"ATRASADO",IF(Q248=TODAY(),"HOJE","No prazo")))))))</f>
        <v/>
      </c>
      <c r="S248" s="9" t="str">
        <f aca="true">IF(M248="","",TODAY()-M248)</f>
        <v/>
      </c>
      <c r="T248" s="7"/>
      <c r="U248" s="11"/>
      <c r="V248" s="11"/>
      <c r="W248" s="11"/>
      <c r="X248" s="10"/>
      <c r="Y248" s="5"/>
    </row>
    <row r="249" customFormat="false" ht="15" hidden="false" customHeight="false" outlineLevel="0" collapsed="false">
      <c r="A249" s="3"/>
      <c r="B249" s="4"/>
      <c r="C249" s="5"/>
      <c r="D249" s="5"/>
      <c r="E249" s="5"/>
      <c r="F249" s="5"/>
      <c r="G249" s="5"/>
      <c r="H249" s="5"/>
      <c r="I249" s="3" t="str">
        <f aca="false">IF(H249="","",HYPERLINK("https://wa.me/55"&amp;SUBSTITUTE(SUBSTITUTE(SUBSTITUTE(SUBSTITUTE(H249,"(",""),")",""),"-","")," ",""),"Abrir"))</f>
        <v/>
      </c>
      <c r="J249" s="3"/>
      <c r="K249" s="5"/>
      <c r="L249" s="5"/>
      <c r="M249" s="6"/>
      <c r="N249" s="4" t="str">
        <f aca="false">IF(M249="","",WORKDAY(M249,3))</f>
        <v/>
      </c>
      <c r="O249" s="4" t="str">
        <f aca="false">IF(M249="","",WORKDAY(M249,7))</f>
        <v/>
      </c>
      <c r="P249" s="4" t="str">
        <f aca="false">IF(M249="","",WORKDAY(M249,30))</f>
        <v/>
      </c>
      <c r="Q249" s="4" t="str">
        <f aca="true">IF(M249="","",IF(OR(T249="Sim",COUNTIF({"FECHADO";"Perdido";"Descartado"},L249)&gt;0),"",IF(TODAY()&lt;N249,N249,IF(TODAY()&lt;O249,O249,IF(TODAY()&lt;=P249,P249,"")))))</f>
        <v/>
      </c>
      <c r="R249" s="3" t="str">
        <f aca="true">IF(C249="","",IF(COUNTIF({"FECHADO";"Perdido";"Descartado"},L249)&gt;0,"-",IF(M249="","INICIAR",IF(T249="Sim","RESPONDEU",IF(Q249="","ESGOTADO",IF(Q249&lt;TODAY(),"ATRASADO",IF(Q249=TODAY(),"HOJE","No prazo")))))))</f>
        <v/>
      </c>
      <c r="S249" s="3" t="str">
        <f aca="true">IF(M249="","",TODAY()-M249)</f>
        <v/>
      </c>
      <c r="T249" s="7"/>
      <c r="U249" s="8"/>
      <c r="V249" s="8"/>
      <c r="W249" s="8"/>
      <c r="X249" s="4"/>
      <c r="Y249" s="5"/>
    </row>
    <row r="250" customFormat="false" ht="15" hidden="false" customHeight="false" outlineLevel="0" collapsed="false">
      <c r="A250" s="9"/>
      <c r="B250" s="10"/>
      <c r="C250" s="5"/>
      <c r="D250" s="5"/>
      <c r="E250" s="5"/>
      <c r="F250" s="5"/>
      <c r="G250" s="5"/>
      <c r="H250" s="5"/>
      <c r="I250" s="9" t="str">
        <f aca="false">IF(H250="","",HYPERLINK("https://wa.me/55"&amp;SUBSTITUTE(SUBSTITUTE(SUBSTITUTE(SUBSTITUTE(H250,"(",""),")",""),"-","")," ",""),"Abrir"))</f>
        <v/>
      </c>
      <c r="J250" s="9"/>
      <c r="K250" s="5"/>
      <c r="L250" s="5"/>
      <c r="M250" s="6"/>
      <c r="N250" s="10" t="str">
        <f aca="false">IF(M250="","",WORKDAY(M250,3))</f>
        <v/>
      </c>
      <c r="O250" s="10" t="str">
        <f aca="false">IF(M250="","",WORKDAY(M250,7))</f>
        <v/>
      </c>
      <c r="P250" s="10" t="str">
        <f aca="false">IF(M250="","",WORKDAY(M250,30))</f>
        <v/>
      </c>
      <c r="Q250" s="10" t="str">
        <f aca="true">IF(M250="","",IF(OR(T250="Sim",COUNTIF({"FECHADO";"Perdido";"Descartado"},L250)&gt;0),"",IF(TODAY()&lt;N250,N250,IF(TODAY()&lt;O250,O250,IF(TODAY()&lt;=P250,P250,"")))))</f>
        <v/>
      </c>
      <c r="R250" s="9" t="str">
        <f aca="true">IF(C250="","",IF(COUNTIF({"FECHADO";"Perdido";"Descartado"},L250)&gt;0,"-",IF(M250="","INICIAR",IF(T250="Sim","RESPONDEU",IF(Q250="","ESGOTADO",IF(Q250&lt;TODAY(),"ATRASADO",IF(Q250=TODAY(),"HOJE","No prazo")))))))</f>
        <v/>
      </c>
      <c r="S250" s="9" t="str">
        <f aca="true">IF(M250="","",TODAY()-M250)</f>
        <v/>
      </c>
      <c r="T250" s="7"/>
      <c r="U250" s="11"/>
      <c r="V250" s="11"/>
      <c r="W250" s="11"/>
      <c r="X250" s="10"/>
      <c r="Y250" s="5"/>
    </row>
    <row r="251" customFormat="false" ht="15" hidden="false" customHeight="false" outlineLevel="0" collapsed="false">
      <c r="A251" s="3"/>
      <c r="B251" s="4"/>
      <c r="C251" s="5"/>
      <c r="D251" s="5"/>
      <c r="E251" s="5"/>
      <c r="F251" s="5"/>
      <c r="G251" s="5"/>
      <c r="H251" s="5"/>
      <c r="I251" s="3" t="str">
        <f aca="false">IF(H251="","",HYPERLINK("https://wa.me/55"&amp;SUBSTITUTE(SUBSTITUTE(SUBSTITUTE(SUBSTITUTE(H251,"(",""),")",""),"-","")," ",""),"Abrir"))</f>
        <v/>
      </c>
      <c r="J251" s="3"/>
      <c r="K251" s="5"/>
      <c r="L251" s="5"/>
      <c r="M251" s="6"/>
      <c r="N251" s="4" t="str">
        <f aca="false">IF(M251="","",WORKDAY(M251,3))</f>
        <v/>
      </c>
      <c r="O251" s="4" t="str">
        <f aca="false">IF(M251="","",WORKDAY(M251,7))</f>
        <v/>
      </c>
      <c r="P251" s="4" t="str">
        <f aca="false">IF(M251="","",WORKDAY(M251,30))</f>
        <v/>
      </c>
      <c r="Q251" s="4" t="str">
        <f aca="true">IF(M251="","",IF(OR(T251="Sim",COUNTIF({"FECHADO";"Perdido";"Descartado"},L251)&gt;0),"",IF(TODAY()&lt;N251,N251,IF(TODAY()&lt;O251,O251,IF(TODAY()&lt;=P251,P251,"")))))</f>
        <v/>
      </c>
      <c r="R251" s="3" t="str">
        <f aca="true">IF(C251="","",IF(COUNTIF({"FECHADO";"Perdido";"Descartado"},L251)&gt;0,"-",IF(M251="","INICIAR",IF(T251="Sim","RESPONDEU",IF(Q251="","ESGOTADO",IF(Q251&lt;TODAY(),"ATRASADO",IF(Q251=TODAY(),"HOJE","No prazo")))))))</f>
        <v/>
      </c>
      <c r="S251" s="3" t="str">
        <f aca="true">IF(M251="","",TODAY()-M251)</f>
        <v/>
      </c>
      <c r="T251" s="7"/>
      <c r="U251" s="8"/>
      <c r="V251" s="8"/>
      <c r="W251" s="8"/>
      <c r="X251" s="4"/>
      <c r="Y251" s="5"/>
    </row>
    <row r="252" customFormat="false" ht="15" hidden="false" customHeight="false" outlineLevel="0" collapsed="false">
      <c r="A252" s="9"/>
      <c r="B252" s="10"/>
      <c r="C252" s="5"/>
      <c r="D252" s="5"/>
      <c r="E252" s="5"/>
      <c r="F252" s="5"/>
      <c r="G252" s="5"/>
      <c r="H252" s="5"/>
      <c r="I252" s="9" t="str">
        <f aca="false">IF(H252="","",HYPERLINK("https://wa.me/55"&amp;SUBSTITUTE(SUBSTITUTE(SUBSTITUTE(SUBSTITUTE(H252,"(",""),")",""),"-","")," ",""),"Abrir"))</f>
        <v/>
      </c>
      <c r="J252" s="9"/>
      <c r="K252" s="5"/>
      <c r="L252" s="5"/>
      <c r="M252" s="6"/>
      <c r="N252" s="10" t="str">
        <f aca="false">IF(M252="","",WORKDAY(M252,3))</f>
        <v/>
      </c>
      <c r="O252" s="10" t="str">
        <f aca="false">IF(M252="","",WORKDAY(M252,7))</f>
        <v/>
      </c>
      <c r="P252" s="10" t="str">
        <f aca="false">IF(M252="","",WORKDAY(M252,30))</f>
        <v/>
      </c>
      <c r="Q252" s="10" t="str">
        <f aca="true">IF(M252="","",IF(OR(T252="Sim",COUNTIF({"FECHADO";"Perdido";"Descartado"},L252)&gt;0),"",IF(TODAY()&lt;N252,N252,IF(TODAY()&lt;O252,O252,IF(TODAY()&lt;=P252,P252,"")))))</f>
        <v/>
      </c>
      <c r="R252" s="9" t="str">
        <f aca="true">IF(C252="","",IF(COUNTIF({"FECHADO";"Perdido";"Descartado"},L252)&gt;0,"-",IF(M252="","INICIAR",IF(T252="Sim","RESPONDEU",IF(Q252="","ESGOTADO",IF(Q252&lt;TODAY(),"ATRASADO",IF(Q252=TODAY(),"HOJE","No prazo")))))))</f>
        <v/>
      </c>
      <c r="S252" s="9" t="str">
        <f aca="true">IF(M252="","",TODAY()-M252)</f>
        <v/>
      </c>
      <c r="T252" s="7"/>
      <c r="U252" s="11"/>
      <c r="V252" s="11"/>
      <c r="W252" s="11"/>
      <c r="X252" s="10"/>
      <c r="Y252" s="5"/>
    </row>
    <row r="253" customFormat="false" ht="15" hidden="false" customHeight="false" outlineLevel="0" collapsed="false">
      <c r="A253" s="3"/>
      <c r="B253" s="4"/>
      <c r="C253" s="5"/>
      <c r="D253" s="5"/>
      <c r="E253" s="5"/>
      <c r="F253" s="5"/>
      <c r="G253" s="5"/>
      <c r="H253" s="5"/>
      <c r="I253" s="3" t="str">
        <f aca="false">IF(H253="","",HYPERLINK("https://wa.me/55"&amp;SUBSTITUTE(SUBSTITUTE(SUBSTITUTE(SUBSTITUTE(H253,"(",""),")",""),"-","")," ",""),"Abrir"))</f>
        <v/>
      </c>
      <c r="J253" s="3"/>
      <c r="K253" s="5"/>
      <c r="L253" s="5"/>
      <c r="M253" s="6"/>
      <c r="N253" s="4" t="str">
        <f aca="false">IF(M253="","",WORKDAY(M253,3))</f>
        <v/>
      </c>
      <c r="O253" s="4" t="str">
        <f aca="false">IF(M253="","",WORKDAY(M253,7))</f>
        <v/>
      </c>
      <c r="P253" s="4" t="str">
        <f aca="false">IF(M253="","",WORKDAY(M253,30))</f>
        <v/>
      </c>
      <c r="Q253" s="4" t="str">
        <f aca="true">IF(M253="","",IF(OR(T253="Sim",COUNTIF({"FECHADO";"Perdido";"Descartado"},L253)&gt;0),"",IF(TODAY()&lt;N253,N253,IF(TODAY()&lt;O253,O253,IF(TODAY()&lt;=P253,P253,"")))))</f>
        <v/>
      </c>
      <c r="R253" s="3" t="str">
        <f aca="true">IF(C253="","",IF(COUNTIF({"FECHADO";"Perdido";"Descartado"},L253)&gt;0,"-",IF(M253="","INICIAR",IF(T253="Sim","RESPONDEU",IF(Q253="","ESGOTADO",IF(Q253&lt;TODAY(),"ATRASADO",IF(Q253=TODAY(),"HOJE","No prazo")))))))</f>
        <v/>
      </c>
      <c r="S253" s="3" t="str">
        <f aca="true">IF(M253="","",TODAY()-M253)</f>
        <v/>
      </c>
      <c r="T253" s="7"/>
      <c r="U253" s="8"/>
      <c r="V253" s="8"/>
      <c r="W253" s="8"/>
      <c r="X253" s="4"/>
      <c r="Y253" s="5"/>
    </row>
    <row r="254" customFormat="false" ht="15" hidden="false" customHeight="false" outlineLevel="0" collapsed="false">
      <c r="A254" s="9"/>
      <c r="B254" s="10"/>
      <c r="C254" s="5"/>
      <c r="D254" s="5"/>
      <c r="E254" s="5"/>
      <c r="F254" s="5"/>
      <c r="G254" s="5"/>
      <c r="H254" s="5"/>
      <c r="I254" s="9" t="str">
        <f aca="false">IF(H254="","",HYPERLINK("https://wa.me/55"&amp;SUBSTITUTE(SUBSTITUTE(SUBSTITUTE(SUBSTITUTE(H254,"(",""),")",""),"-","")," ",""),"Abrir"))</f>
        <v/>
      </c>
      <c r="J254" s="9"/>
      <c r="K254" s="5"/>
      <c r="L254" s="5"/>
      <c r="M254" s="6"/>
      <c r="N254" s="10" t="str">
        <f aca="false">IF(M254="","",WORKDAY(M254,3))</f>
        <v/>
      </c>
      <c r="O254" s="10" t="str">
        <f aca="false">IF(M254="","",WORKDAY(M254,7))</f>
        <v/>
      </c>
      <c r="P254" s="10" t="str">
        <f aca="false">IF(M254="","",WORKDAY(M254,30))</f>
        <v/>
      </c>
      <c r="Q254" s="10" t="str">
        <f aca="true">IF(M254="","",IF(OR(T254="Sim",COUNTIF({"FECHADO";"Perdido";"Descartado"},L254)&gt;0),"",IF(TODAY()&lt;N254,N254,IF(TODAY()&lt;O254,O254,IF(TODAY()&lt;=P254,P254,"")))))</f>
        <v/>
      </c>
      <c r="R254" s="9" t="str">
        <f aca="true">IF(C254="","",IF(COUNTIF({"FECHADO";"Perdido";"Descartado"},L254)&gt;0,"-",IF(M254="","INICIAR",IF(T254="Sim","RESPONDEU",IF(Q254="","ESGOTADO",IF(Q254&lt;TODAY(),"ATRASADO",IF(Q254=TODAY(),"HOJE","No prazo")))))))</f>
        <v/>
      </c>
      <c r="S254" s="9" t="str">
        <f aca="true">IF(M254="","",TODAY()-M254)</f>
        <v/>
      </c>
      <c r="T254" s="7"/>
      <c r="U254" s="11"/>
      <c r="V254" s="11"/>
      <c r="W254" s="11"/>
      <c r="X254" s="10"/>
      <c r="Y254" s="5"/>
    </row>
    <row r="255" customFormat="false" ht="15" hidden="false" customHeight="false" outlineLevel="0" collapsed="false">
      <c r="A255" s="3"/>
      <c r="B255" s="4"/>
      <c r="C255" s="5"/>
      <c r="D255" s="5"/>
      <c r="E255" s="5"/>
      <c r="F255" s="5"/>
      <c r="G255" s="5"/>
      <c r="H255" s="5"/>
      <c r="I255" s="3" t="str">
        <f aca="false">IF(H255="","",HYPERLINK("https://wa.me/55"&amp;SUBSTITUTE(SUBSTITUTE(SUBSTITUTE(SUBSTITUTE(H255,"(",""),")",""),"-","")," ",""),"Abrir"))</f>
        <v/>
      </c>
      <c r="J255" s="3"/>
      <c r="K255" s="5"/>
      <c r="L255" s="5"/>
      <c r="M255" s="6"/>
      <c r="N255" s="4" t="str">
        <f aca="false">IF(M255="","",WORKDAY(M255,3))</f>
        <v/>
      </c>
      <c r="O255" s="4" t="str">
        <f aca="false">IF(M255="","",WORKDAY(M255,7))</f>
        <v/>
      </c>
      <c r="P255" s="4" t="str">
        <f aca="false">IF(M255="","",WORKDAY(M255,30))</f>
        <v/>
      </c>
      <c r="Q255" s="4" t="str">
        <f aca="true">IF(M255="","",IF(OR(T255="Sim",COUNTIF({"FECHADO";"Perdido";"Descartado"},L255)&gt;0),"",IF(TODAY()&lt;N255,N255,IF(TODAY()&lt;O255,O255,IF(TODAY()&lt;=P255,P255,"")))))</f>
        <v/>
      </c>
      <c r="R255" s="3" t="str">
        <f aca="true">IF(C255="","",IF(COUNTIF({"FECHADO";"Perdido";"Descartado"},L255)&gt;0,"-",IF(M255="","INICIAR",IF(T255="Sim","RESPONDEU",IF(Q255="","ESGOTADO",IF(Q255&lt;TODAY(),"ATRASADO",IF(Q255=TODAY(),"HOJE","No prazo")))))))</f>
        <v/>
      </c>
      <c r="S255" s="3" t="str">
        <f aca="true">IF(M255="","",TODAY()-M255)</f>
        <v/>
      </c>
      <c r="T255" s="7"/>
      <c r="U255" s="8"/>
      <c r="V255" s="8"/>
      <c r="W255" s="8"/>
      <c r="X255" s="4"/>
      <c r="Y255" s="5"/>
    </row>
    <row r="256" customFormat="false" ht="15" hidden="false" customHeight="false" outlineLevel="0" collapsed="false">
      <c r="A256" s="9"/>
      <c r="B256" s="10"/>
      <c r="C256" s="5"/>
      <c r="D256" s="5"/>
      <c r="E256" s="5"/>
      <c r="F256" s="5"/>
      <c r="G256" s="5"/>
      <c r="H256" s="5"/>
      <c r="I256" s="9" t="str">
        <f aca="false">IF(H256="","",HYPERLINK("https://wa.me/55"&amp;SUBSTITUTE(SUBSTITUTE(SUBSTITUTE(SUBSTITUTE(H256,"(",""),")",""),"-","")," ",""),"Abrir"))</f>
        <v/>
      </c>
      <c r="J256" s="9"/>
      <c r="K256" s="5"/>
      <c r="L256" s="5"/>
      <c r="M256" s="6"/>
      <c r="N256" s="10" t="str">
        <f aca="false">IF(M256="","",WORKDAY(M256,3))</f>
        <v/>
      </c>
      <c r="O256" s="10" t="str">
        <f aca="false">IF(M256="","",WORKDAY(M256,7))</f>
        <v/>
      </c>
      <c r="P256" s="10" t="str">
        <f aca="false">IF(M256="","",WORKDAY(M256,30))</f>
        <v/>
      </c>
      <c r="Q256" s="10" t="str">
        <f aca="true">IF(M256="","",IF(OR(T256="Sim",COUNTIF({"FECHADO";"Perdido";"Descartado"},L256)&gt;0),"",IF(TODAY()&lt;N256,N256,IF(TODAY()&lt;O256,O256,IF(TODAY()&lt;=P256,P256,"")))))</f>
        <v/>
      </c>
      <c r="R256" s="9" t="str">
        <f aca="true">IF(C256="","",IF(COUNTIF({"FECHADO";"Perdido";"Descartado"},L256)&gt;0,"-",IF(M256="","INICIAR",IF(T256="Sim","RESPONDEU",IF(Q256="","ESGOTADO",IF(Q256&lt;TODAY(),"ATRASADO",IF(Q256=TODAY(),"HOJE","No prazo")))))))</f>
        <v/>
      </c>
      <c r="S256" s="9" t="str">
        <f aca="true">IF(M256="","",TODAY()-M256)</f>
        <v/>
      </c>
      <c r="T256" s="7"/>
      <c r="U256" s="11"/>
      <c r="V256" s="11"/>
      <c r="W256" s="11"/>
      <c r="X256" s="10"/>
      <c r="Y256" s="5"/>
    </row>
    <row r="257" customFormat="false" ht="15" hidden="false" customHeight="false" outlineLevel="0" collapsed="false">
      <c r="A257" s="3"/>
      <c r="B257" s="4"/>
      <c r="C257" s="5"/>
      <c r="D257" s="5"/>
      <c r="E257" s="5"/>
      <c r="F257" s="5"/>
      <c r="G257" s="5"/>
      <c r="H257" s="5"/>
      <c r="I257" s="3" t="str">
        <f aca="false">IF(H257="","",HYPERLINK("https://wa.me/55"&amp;SUBSTITUTE(SUBSTITUTE(SUBSTITUTE(SUBSTITUTE(H257,"(",""),")",""),"-","")," ",""),"Abrir"))</f>
        <v/>
      </c>
      <c r="J257" s="3"/>
      <c r="K257" s="5"/>
      <c r="L257" s="5"/>
      <c r="M257" s="6"/>
      <c r="N257" s="4" t="str">
        <f aca="false">IF(M257="","",WORKDAY(M257,3))</f>
        <v/>
      </c>
      <c r="O257" s="4" t="str">
        <f aca="false">IF(M257="","",WORKDAY(M257,7))</f>
        <v/>
      </c>
      <c r="P257" s="4" t="str">
        <f aca="false">IF(M257="","",WORKDAY(M257,30))</f>
        <v/>
      </c>
      <c r="Q257" s="4" t="str">
        <f aca="true">IF(M257="","",IF(OR(T257="Sim",COUNTIF({"FECHADO";"Perdido";"Descartado"},L257)&gt;0),"",IF(TODAY()&lt;N257,N257,IF(TODAY()&lt;O257,O257,IF(TODAY()&lt;=P257,P257,"")))))</f>
        <v/>
      </c>
      <c r="R257" s="3" t="str">
        <f aca="true">IF(C257="","",IF(COUNTIF({"FECHADO";"Perdido";"Descartado"},L257)&gt;0,"-",IF(M257="","INICIAR",IF(T257="Sim","RESPONDEU",IF(Q257="","ESGOTADO",IF(Q257&lt;TODAY(),"ATRASADO",IF(Q257=TODAY(),"HOJE","No prazo")))))))</f>
        <v/>
      </c>
      <c r="S257" s="3" t="str">
        <f aca="true">IF(M257="","",TODAY()-M257)</f>
        <v/>
      </c>
      <c r="T257" s="7"/>
      <c r="U257" s="8"/>
      <c r="V257" s="8"/>
      <c r="W257" s="8"/>
      <c r="X257" s="4"/>
      <c r="Y257" s="5"/>
    </row>
    <row r="258" customFormat="false" ht="15" hidden="false" customHeight="false" outlineLevel="0" collapsed="false">
      <c r="A258" s="9"/>
      <c r="B258" s="10"/>
      <c r="C258" s="5"/>
      <c r="D258" s="5"/>
      <c r="E258" s="5"/>
      <c r="F258" s="5"/>
      <c r="G258" s="5"/>
      <c r="H258" s="5"/>
      <c r="I258" s="9" t="str">
        <f aca="false">IF(H258="","",HYPERLINK("https://wa.me/55"&amp;SUBSTITUTE(SUBSTITUTE(SUBSTITUTE(SUBSTITUTE(H258,"(",""),")",""),"-","")," ",""),"Abrir"))</f>
        <v/>
      </c>
      <c r="J258" s="9"/>
      <c r="K258" s="5"/>
      <c r="L258" s="5"/>
      <c r="M258" s="6"/>
      <c r="N258" s="10" t="str">
        <f aca="false">IF(M258="","",WORKDAY(M258,3))</f>
        <v/>
      </c>
      <c r="O258" s="10" t="str">
        <f aca="false">IF(M258="","",WORKDAY(M258,7))</f>
        <v/>
      </c>
      <c r="P258" s="10" t="str">
        <f aca="false">IF(M258="","",WORKDAY(M258,30))</f>
        <v/>
      </c>
      <c r="Q258" s="10" t="str">
        <f aca="true">IF(M258="","",IF(OR(T258="Sim",COUNTIF({"FECHADO";"Perdido";"Descartado"},L258)&gt;0),"",IF(TODAY()&lt;N258,N258,IF(TODAY()&lt;O258,O258,IF(TODAY()&lt;=P258,P258,"")))))</f>
        <v/>
      </c>
      <c r="R258" s="9" t="str">
        <f aca="true">IF(C258="","",IF(COUNTIF({"FECHADO";"Perdido";"Descartado"},L258)&gt;0,"-",IF(M258="","INICIAR",IF(T258="Sim","RESPONDEU",IF(Q258="","ESGOTADO",IF(Q258&lt;TODAY(),"ATRASADO",IF(Q258=TODAY(),"HOJE","No prazo")))))))</f>
        <v/>
      </c>
      <c r="S258" s="9" t="str">
        <f aca="true">IF(M258="","",TODAY()-M258)</f>
        <v/>
      </c>
      <c r="T258" s="7"/>
      <c r="U258" s="11"/>
      <c r="V258" s="11"/>
      <c r="W258" s="11"/>
      <c r="X258" s="10"/>
      <c r="Y258" s="5"/>
    </row>
    <row r="259" customFormat="false" ht="15" hidden="false" customHeight="false" outlineLevel="0" collapsed="false">
      <c r="A259" s="3"/>
      <c r="B259" s="4"/>
      <c r="C259" s="5"/>
      <c r="D259" s="5"/>
      <c r="E259" s="5"/>
      <c r="F259" s="5"/>
      <c r="G259" s="5"/>
      <c r="H259" s="5"/>
      <c r="I259" s="3" t="str">
        <f aca="false">IF(H259="","",HYPERLINK("https://wa.me/55"&amp;SUBSTITUTE(SUBSTITUTE(SUBSTITUTE(SUBSTITUTE(H259,"(",""),")",""),"-","")," ",""),"Abrir"))</f>
        <v/>
      </c>
      <c r="J259" s="3"/>
      <c r="K259" s="5"/>
      <c r="L259" s="5"/>
      <c r="M259" s="6"/>
      <c r="N259" s="4" t="str">
        <f aca="false">IF(M259="","",WORKDAY(M259,3))</f>
        <v/>
      </c>
      <c r="O259" s="4" t="str">
        <f aca="false">IF(M259="","",WORKDAY(M259,7))</f>
        <v/>
      </c>
      <c r="P259" s="4" t="str">
        <f aca="false">IF(M259="","",WORKDAY(M259,30))</f>
        <v/>
      </c>
      <c r="Q259" s="4" t="str">
        <f aca="true">IF(M259="","",IF(OR(T259="Sim",COUNTIF({"FECHADO";"Perdido";"Descartado"},L259)&gt;0),"",IF(TODAY()&lt;N259,N259,IF(TODAY()&lt;O259,O259,IF(TODAY()&lt;=P259,P259,"")))))</f>
        <v/>
      </c>
      <c r="R259" s="3" t="str">
        <f aca="true">IF(C259="","",IF(COUNTIF({"FECHADO";"Perdido";"Descartado"},L259)&gt;0,"-",IF(M259="","INICIAR",IF(T259="Sim","RESPONDEU",IF(Q259="","ESGOTADO",IF(Q259&lt;TODAY(),"ATRASADO",IF(Q259=TODAY(),"HOJE","No prazo")))))))</f>
        <v/>
      </c>
      <c r="S259" s="3" t="str">
        <f aca="true">IF(M259="","",TODAY()-M259)</f>
        <v/>
      </c>
      <c r="T259" s="7"/>
      <c r="U259" s="8"/>
      <c r="V259" s="8"/>
      <c r="W259" s="8"/>
      <c r="X259" s="4"/>
      <c r="Y259" s="5"/>
    </row>
    <row r="260" customFormat="false" ht="15" hidden="false" customHeight="false" outlineLevel="0" collapsed="false">
      <c r="A260" s="9"/>
      <c r="B260" s="10"/>
      <c r="C260" s="5"/>
      <c r="D260" s="5"/>
      <c r="E260" s="5"/>
      <c r="F260" s="5"/>
      <c r="G260" s="5"/>
      <c r="H260" s="5"/>
      <c r="I260" s="9" t="str">
        <f aca="false">IF(H260="","",HYPERLINK("https://wa.me/55"&amp;SUBSTITUTE(SUBSTITUTE(SUBSTITUTE(SUBSTITUTE(H260,"(",""),")",""),"-","")," ",""),"Abrir"))</f>
        <v/>
      </c>
      <c r="J260" s="9"/>
      <c r="K260" s="5"/>
      <c r="L260" s="5"/>
      <c r="M260" s="6"/>
      <c r="N260" s="10" t="str">
        <f aca="false">IF(M260="","",WORKDAY(M260,3))</f>
        <v/>
      </c>
      <c r="O260" s="10" t="str">
        <f aca="false">IF(M260="","",WORKDAY(M260,7))</f>
        <v/>
      </c>
      <c r="P260" s="10" t="str">
        <f aca="false">IF(M260="","",WORKDAY(M260,30))</f>
        <v/>
      </c>
      <c r="Q260" s="10" t="str">
        <f aca="true">IF(M260="","",IF(OR(T260="Sim",COUNTIF({"FECHADO";"Perdido";"Descartado"},L260)&gt;0),"",IF(TODAY()&lt;N260,N260,IF(TODAY()&lt;O260,O260,IF(TODAY()&lt;=P260,P260,"")))))</f>
        <v/>
      </c>
      <c r="R260" s="9" t="str">
        <f aca="true">IF(C260="","",IF(COUNTIF({"FECHADO";"Perdido";"Descartado"},L260)&gt;0,"-",IF(M260="","INICIAR",IF(T260="Sim","RESPONDEU",IF(Q260="","ESGOTADO",IF(Q260&lt;TODAY(),"ATRASADO",IF(Q260=TODAY(),"HOJE","No prazo")))))))</f>
        <v/>
      </c>
      <c r="S260" s="9" t="str">
        <f aca="true">IF(M260="","",TODAY()-M260)</f>
        <v/>
      </c>
      <c r="T260" s="7"/>
      <c r="U260" s="11"/>
      <c r="V260" s="11"/>
      <c r="W260" s="11"/>
      <c r="X260" s="10"/>
      <c r="Y260" s="5"/>
    </row>
    <row r="261" customFormat="false" ht="15" hidden="false" customHeight="false" outlineLevel="0" collapsed="false">
      <c r="A261" s="3"/>
      <c r="B261" s="4"/>
      <c r="C261" s="5"/>
      <c r="D261" s="5"/>
      <c r="E261" s="5"/>
      <c r="F261" s="5"/>
      <c r="G261" s="5"/>
      <c r="H261" s="5"/>
      <c r="I261" s="3" t="str">
        <f aca="false">IF(H261="","",HYPERLINK("https://wa.me/55"&amp;SUBSTITUTE(SUBSTITUTE(SUBSTITUTE(SUBSTITUTE(H261,"(",""),")",""),"-","")," ",""),"Abrir"))</f>
        <v/>
      </c>
      <c r="J261" s="3"/>
      <c r="K261" s="5"/>
      <c r="L261" s="5"/>
      <c r="M261" s="6"/>
      <c r="N261" s="4" t="str">
        <f aca="false">IF(M261="","",WORKDAY(M261,3))</f>
        <v/>
      </c>
      <c r="O261" s="4" t="str">
        <f aca="false">IF(M261="","",WORKDAY(M261,7))</f>
        <v/>
      </c>
      <c r="P261" s="4" t="str">
        <f aca="false">IF(M261="","",WORKDAY(M261,30))</f>
        <v/>
      </c>
      <c r="Q261" s="4" t="str">
        <f aca="true">IF(M261="","",IF(OR(T261="Sim",COUNTIF({"FECHADO";"Perdido";"Descartado"},L261)&gt;0),"",IF(TODAY()&lt;N261,N261,IF(TODAY()&lt;O261,O261,IF(TODAY()&lt;=P261,P261,"")))))</f>
        <v/>
      </c>
      <c r="R261" s="3" t="str">
        <f aca="true">IF(C261="","",IF(COUNTIF({"FECHADO";"Perdido";"Descartado"},L261)&gt;0,"-",IF(M261="","INICIAR",IF(T261="Sim","RESPONDEU",IF(Q261="","ESGOTADO",IF(Q261&lt;TODAY(),"ATRASADO",IF(Q261=TODAY(),"HOJE","No prazo")))))))</f>
        <v/>
      </c>
      <c r="S261" s="3" t="str">
        <f aca="true">IF(M261="","",TODAY()-M261)</f>
        <v/>
      </c>
      <c r="T261" s="7"/>
      <c r="U261" s="8"/>
      <c r="V261" s="8"/>
      <c r="W261" s="8"/>
      <c r="X261" s="4"/>
      <c r="Y261" s="5"/>
    </row>
    <row r="262" customFormat="false" ht="15" hidden="false" customHeight="false" outlineLevel="0" collapsed="false">
      <c r="A262" s="9"/>
      <c r="B262" s="10"/>
      <c r="C262" s="5"/>
      <c r="D262" s="5"/>
      <c r="E262" s="5"/>
      <c r="F262" s="5"/>
      <c r="G262" s="5"/>
      <c r="H262" s="5"/>
      <c r="I262" s="9" t="str">
        <f aca="false">IF(H262="","",HYPERLINK("https://wa.me/55"&amp;SUBSTITUTE(SUBSTITUTE(SUBSTITUTE(SUBSTITUTE(H262,"(",""),")",""),"-","")," ",""),"Abrir"))</f>
        <v/>
      </c>
      <c r="J262" s="9"/>
      <c r="K262" s="5"/>
      <c r="L262" s="5"/>
      <c r="M262" s="6"/>
      <c r="N262" s="10" t="str">
        <f aca="false">IF(M262="","",WORKDAY(M262,3))</f>
        <v/>
      </c>
      <c r="O262" s="10" t="str">
        <f aca="false">IF(M262="","",WORKDAY(M262,7))</f>
        <v/>
      </c>
      <c r="P262" s="10" t="str">
        <f aca="false">IF(M262="","",WORKDAY(M262,30))</f>
        <v/>
      </c>
      <c r="Q262" s="10" t="str">
        <f aca="true">IF(M262="","",IF(OR(T262="Sim",COUNTIF({"FECHADO";"Perdido";"Descartado"},L262)&gt;0),"",IF(TODAY()&lt;N262,N262,IF(TODAY()&lt;O262,O262,IF(TODAY()&lt;=P262,P262,"")))))</f>
        <v/>
      </c>
      <c r="R262" s="9" t="str">
        <f aca="true">IF(C262="","",IF(COUNTIF({"FECHADO";"Perdido";"Descartado"},L262)&gt;0,"-",IF(M262="","INICIAR",IF(T262="Sim","RESPONDEU",IF(Q262="","ESGOTADO",IF(Q262&lt;TODAY(),"ATRASADO",IF(Q262=TODAY(),"HOJE","No prazo")))))))</f>
        <v/>
      </c>
      <c r="S262" s="9" t="str">
        <f aca="true">IF(M262="","",TODAY()-M262)</f>
        <v/>
      </c>
      <c r="T262" s="7"/>
      <c r="U262" s="11"/>
      <c r="V262" s="11"/>
      <c r="W262" s="11"/>
      <c r="X262" s="10"/>
      <c r="Y262" s="5"/>
    </row>
    <row r="263" customFormat="false" ht="15" hidden="false" customHeight="false" outlineLevel="0" collapsed="false">
      <c r="A263" s="3"/>
      <c r="B263" s="4"/>
      <c r="C263" s="5"/>
      <c r="D263" s="5"/>
      <c r="E263" s="5"/>
      <c r="F263" s="5"/>
      <c r="G263" s="5"/>
      <c r="H263" s="5"/>
      <c r="I263" s="3" t="str">
        <f aca="false">IF(H263="","",HYPERLINK("https://wa.me/55"&amp;SUBSTITUTE(SUBSTITUTE(SUBSTITUTE(SUBSTITUTE(H263,"(",""),")",""),"-","")," ",""),"Abrir"))</f>
        <v/>
      </c>
      <c r="J263" s="3"/>
      <c r="K263" s="5"/>
      <c r="L263" s="5"/>
      <c r="M263" s="6"/>
      <c r="N263" s="4" t="str">
        <f aca="false">IF(M263="","",WORKDAY(M263,3))</f>
        <v/>
      </c>
      <c r="O263" s="4" t="str">
        <f aca="false">IF(M263="","",WORKDAY(M263,7))</f>
        <v/>
      </c>
      <c r="P263" s="4" t="str">
        <f aca="false">IF(M263="","",WORKDAY(M263,30))</f>
        <v/>
      </c>
      <c r="Q263" s="4" t="str">
        <f aca="true">IF(M263="","",IF(OR(T263="Sim",COUNTIF({"FECHADO";"Perdido";"Descartado"},L263)&gt;0),"",IF(TODAY()&lt;N263,N263,IF(TODAY()&lt;O263,O263,IF(TODAY()&lt;=P263,P263,"")))))</f>
        <v/>
      </c>
      <c r="R263" s="3" t="str">
        <f aca="true">IF(C263="","",IF(COUNTIF({"FECHADO";"Perdido";"Descartado"},L263)&gt;0,"-",IF(M263="","INICIAR",IF(T263="Sim","RESPONDEU",IF(Q263="","ESGOTADO",IF(Q263&lt;TODAY(),"ATRASADO",IF(Q263=TODAY(),"HOJE","No prazo")))))))</f>
        <v/>
      </c>
      <c r="S263" s="3" t="str">
        <f aca="true">IF(M263="","",TODAY()-M263)</f>
        <v/>
      </c>
      <c r="T263" s="7"/>
      <c r="U263" s="8"/>
      <c r="V263" s="8"/>
      <c r="W263" s="8"/>
      <c r="X263" s="4"/>
      <c r="Y263" s="5"/>
    </row>
    <row r="264" customFormat="false" ht="15" hidden="false" customHeight="false" outlineLevel="0" collapsed="false">
      <c r="A264" s="9"/>
      <c r="B264" s="10"/>
      <c r="C264" s="5"/>
      <c r="D264" s="5"/>
      <c r="E264" s="5"/>
      <c r="F264" s="5"/>
      <c r="G264" s="5"/>
      <c r="H264" s="5"/>
      <c r="I264" s="9" t="str">
        <f aca="false">IF(H264="","",HYPERLINK("https://wa.me/55"&amp;SUBSTITUTE(SUBSTITUTE(SUBSTITUTE(SUBSTITUTE(H264,"(",""),")",""),"-","")," ",""),"Abrir"))</f>
        <v/>
      </c>
      <c r="J264" s="9"/>
      <c r="K264" s="5"/>
      <c r="L264" s="5"/>
      <c r="M264" s="6"/>
      <c r="N264" s="10" t="str">
        <f aca="false">IF(M264="","",WORKDAY(M264,3))</f>
        <v/>
      </c>
      <c r="O264" s="10" t="str">
        <f aca="false">IF(M264="","",WORKDAY(M264,7))</f>
        <v/>
      </c>
      <c r="P264" s="10" t="str">
        <f aca="false">IF(M264="","",WORKDAY(M264,30))</f>
        <v/>
      </c>
      <c r="Q264" s="10" t="str">
        <f aca="true">IF(M264="","",IF(OR(T264="Sim",COUNTIF({"FECHADO";"Perdido";"Descartado"},L264)&gt;0),"",IF(TODAY()&lt;N264,N264,IF(TODAY()&lt;O264,O264,IF(TODAY()&lt;=P264,P264,"")))))</f>
        <v/>
      </c>
      <c r="R264" s="9" t="str">
        <f aca="true">IF(C264="","",IF(COUNTIF({"FECHADO";"Perdido";"Descartado"},L264)&gt;0,"-",IF(M264="","INICIAR",IF(T264="Sim","RESPONDEU",IF(Q264="","ESGOTADO",IF(Q264&lt;TODAY(),"ATRASADO",IF(Q264=TODAY(),"HOJE","No prazo")))))))</f>
        <v/>
      </c>
      <c r="S264" s="9" t="str">
        <f aca="true">IF(M264="","",TODAY()-M264)</f>
        <v/>
      </c>
      <c r="T264" s="7"/>
      <c r="U264" s="11"/>
      <c r="V264" s="11"/>
      <c r="W264" s="11"/>
      <c r="X264" s="10"/>
      <c r="Y264" s="5"/>
    </row>
    <row r="265" customFormat="false" ht="15" hidden="false" customHeight="false" outlineLevel="0" collapsed="false">
      <c r="A265" s="3"/>
      <c r="B265" s="4"/>
      <c r="C265" s="5"/>
      <c r="D265" s="5"/>
      <c r="E265" s="5"/>
      <c r="F265" s="5"/>
      <c r="G265" s="5"/>
      <c r="H265" s="5"/>
      <c r="I265" s="3" t="str">
        <f aca="false">IF(H265="","",HYPERLINK("https://wa.me/55"&amp;SUBSTITUTE(SUBSTITUTE(SUBSTITUTE(SUBSTITUTE(H265,"(",""),")",""),"-","")," ",""),"Abrir"))</f>
        <v/>
      </c>
      <c r="J265" s="3"/>
      <c r="K265" s="5"/>
      <c r="L265" s="5"/>
      <c r="M265" s="6"/>
      <c r="N265" s="4" t="str">
        <f aca="false">IF(M265="","",WORKDAY(M265,3))</f>
        <v/>
      </c>
      <c r="O265" s="4" t="str">
        <f aca="false">IF(M265="","",WORKDAY(M265,7))</f>
        <v/>
      </c>
      <c r="P265" s="4" t="str">
        <f aca="false">IF(M265="","",WORKDAY(M265,30))</f>
        <v/>
      </c>
      <c r="Q265" s="4" t="str">
        <f aca="true">IF(M265="","",IF(OR(T265="Sim",COUNTIF({"FECHADO";"Perdido";"Descartado"},L265)&gt;0),"",IF(TODAY()&lt;N265,N265,IF(TODAY()&lt;O265,O265,IF(TODAY()&lt;=P265,P265,"")))))</f>
        <v/>
      </c>
      <c r="R265" s="3" t="str">
        <f aca="true">IF(C265="","",IF(COUNTIF({"FECHADO";"Perdido";"Descartado"},L265)&gt;0,"-",IF(M265="","INICIAR",IF(T265="Sim","RESPONDEU",IF(Q265="","ESGOTADO",IF(Q265&lt;TODAY(),"ATRASADO",IF(Q265=TODAY(),"HOJE","No prazo")))))))</f>
        <v/>
      </c>
      <c r="S265" s="3" t="str">
        <f aca="true">IF(M265="","",TODAY()-M265)</f>
        <v/>
      </c>
      <c r="T265" s="7"/>
      <c r="U265" s="8"/>
      <c r="V265" s="8"/>
      <c r="W265" s="8"/>
      <c r="X265" s="4"/>
      <c r="Y265" s="5"/>
    </row>
    <row r="266" customFormat="false" ht="15" hidden="false" customHeight="false" outlineLevel="0" collapsed="false">
      <c r="A266" s="9"/>
      <c r="B266" s="10"/>
      <c r="C266" s="5"/>
      <c r="D266" s="5"/>
      <c r="E266" s="5"/>
      <c r="F266" s="5"/>
      <c r="G266" s="5"/>
      <c r="H266" s="5"/>
      <c r="I266" s="9" t="str">
        <f aca="false">IF(H266="","",HYPERLINK("https://wa.me/55"&amp;SUBSTITUTE(SUBSTITUTE(SUBSTITUTE(SUBSTITUTE(H266,"(",""),")",""),"-","")," ",""),"Abrir"))</f>
        <v/>
      </c>
      <c r="J266" s="9"/>
      <c r="K266" s="5"/>
      <c r="L266" s="5"/>
      <c r="M266" s="6"/>
      <c r="N266" s="10" t="str">
        <f aca="false">IF(M266="","",WORKDAY(M266,3))</f>
        <v/>
      </c>
      <c r="O266" s="10" t="str">
        <f aca="false">IF(M266="","",WORKDAY(M266,7))</f>
        <v/>
      </c>
      <c r="P266" s="10" t="str">
        <f aca="false">IF(M266="","",WORKDAY(M266,30))</f>
        <v/>
      </c>
      <c r="Q266" s="10" t="str">
        <f aca="true">IF(M266="","",IF(OR(T266="Sim",COUNTIF({"FECHADO";"Perdido";"Descartado"},L266)&gt;0),"",IF(TODAY()&lt;N266,N266,IF(TODAY()&lt;O266,O266,IF(TODAY()&lt;=P266,P266,"")))))</f>
        <v/>
      </c>
      <c r="R266" s="9" t="str">
        <f aca="true">IF(C266="","",IF(COUNTIF({"FECHADO";"Perdido";"Descartado"},L266)&gt;0,"-",IF(M266="","INICIAR",IF(T266="Sim","RESPONDEU",IF(Q266="","ESGOTADO",IF(Q266&lt;TODAY(),"ATRASADO",IF(Q266=TODAY(),"HOJE","No prazo")))))))</f>
        <v/>
      </c>
      <c r="S266" s="9" t="str">
        <f aca="true">IF(M266="","",TODAY()-M266)</f>
        <v/>
      </c>
      <c r="T266" s="7"/>
      <c r="U266" s="11"/>
      <c r="V266" s="11"/>
      <c r="W266" s="11"/>
      <c r="X266" s="10"/>
      <c r="Y266" s="5"/>
    </row>
    <row r="267" customFormat="false" ht="15" hidden="false" customHeight="false" outlineLevel="0" collapsed="false">
      <c r="A267" s="3"/>
      <c r="B267" s="4"/>
      <c r="C267" s="5"/>
      <c r="D267" s="5"/>
      <c r="E267" s="5"/>
      <c r="F267" s="5"/>
      <c r="G267" s="5"/>
      <c r="H267" s="5"/>
      <c r="I267" s="3" t="str">
        <f aca="false">IF(H267="","",HYPERLINK("https://wa.me/55"&amp;SUBSTITUTE(SUBSTITUTE(SUBSTITUTE(SUBSTITUTE(H267,"(",""),")",""),"-","")," ",""),"Abrir"))</f>
        <v/>
      </c>
      <c r="J267" s="3"/>
      <c r="K267" s="5"/>
      <c r="L267" s="5"/>
      <c r="M267" s="6"/>
      <c r="N267" s="4" t="str">
        <f aca="false">IF(M267="","",WORKDAY(M267,3))</f>
        <v/>
      </c>
      <c r="O267" s="4" t="str">
        <f aca="false">IF(M267="","",WORKDAY(M267,7))</f>
        <v/>
      </c>
      <c r="P267" s="4" t="str">
        <f aca="false">IF(M267="","",WORKDAY(M267,30))</f>
        <v/>
      </c>
      <c r="Q267" s="4" t="str">
        <f aca="true">IF(M267="","",IF(OR(T267="Sim",COUNTIF({"FECHADO";"Perdido";"Descartado"},L267)&gt;0),"",IF(TODAY()&lt;N267,N267,IF(TODAY()&lt;O267,O267,IF(TODAY()&lt;=P267,P267,"")))))</f>
        <v/>
      </c>
      <c r="R267" s="3" t="str">
        <f aca="true">IF(C267="","",IF(COUNTIF({"FECHADO";"Perdido";"Descartado"},L267)&gt;0,"-",IF(M267="","INICIAR",IF(T267="Sim","RESPONDEU",IF(Q267="","ESGOTADO",IF(Q267&lt;TODAY(),"ATRASADO",IF(Q267=TODAY(),"HOJE","No prazo")))))))</f>
        <v/>
      </c>
      <c r="S267" s="3" t="str">
        <f aca="true">IF(M267="","",TODAY()-M267)</f>
        <v/>
      </c>
      <c r="T267" s="7"/>
      <c r="U267" s="8"/>
      <c r="V267" s="8"/>
      <c r="W267" s="8"/>
      <c r="X267" s="4"/>
      <c r="Y267" s="5"/>
    </row>
    <row r="268" customFormat="false" ht="15" hidden="false" customHeight="false" outlineLevel="0" collapsed="false">
      <c r="A268" s="9"/>
      <c r="B268" s="10"/>
      <c r="C268" s="5"/>
      <c r="D268" s="5"/>
      <c r="E268" s="5"/>
      <c r="F268" s="5"/>
      <c r="G268" s="5"/>
      <c r="H268" s="5"/>
      <c r="I268" s="9" t="str">
        <f aca="false">IF(H268="","",HYPERLINK("https://wa.me/55"&amp;SUBSTITUTE(SUBSTITUTE(SUBSTITUTE(SUBSTITUTE(H268,"(",""),")",""),"-","")," ",""),"Abrir"))</f>
        <v/>
      </c>
      <c r="J268" s="9"/>
      <c r="K268" s="5"/>
      <c r="L268" s="5"/>
      <c r="M268" s="6"/>
      <c r="N268" s="10" t="str">
        <f aca="false">IF(M268="","",WORKDAY(M268,3))</f>
        <v/>
      </c>
      <c r="O268" s="10" t="str">
        <f aca="false">IF(M268="","",WORKDAY(M268,7))</f>
        <v/>
      </c>
      <c r="P268" s="10" t="str">
        <f aca="false">IF(M268="","",WORKDAY(M268,30))</f>
        <v/>
      </c>
      <c r="Q268" s="10" t="str">
        <f aca="true">IF(M268="","",IF(OR(T268="Sim",COUNTIF({"FECHADO";"Perdido";"Descartado"},L268)&gt;0),"",IF(TODAY()&lt;N268,N268,IF(TODAY()&lt;O268,O268,IF(TODAY()&lt;=P268,P268,"")))))</f>
        <v/>
      </c>
      <c r="R268" s="9" t="str">
        <f aca="true">IF(C268="","",IF(COUNTIF({"FECHADO";"Perdido";"Descartado"},L268)&gt;0,"-",IF(M268="","INICIAR",IF(T268="Sim","RESPONDEU",IF(Q268="","ESGOTADO",IF(Q268&lt;TODAY(),"ATRASADO",IF(Q268=TODAY(),"HOJE","No prazo")))))))</f>
        <v/>
      </c>
      <c r="S268" s="9" t="str">
        <f aca="true">IF(M268="","",TODAY()-M268)</f>
        <v/>
      </c>
      <c r="T268" s="7"/>
      <c r="U268" s="11"/>
      <c r="V268" s="11"/>
      <c r="W268" s="11"/>
      <c r="X268" s="10"/>
      <c r="Y268" s="5"/>
    </row>
    <row r="269" customFormat="false" ht="15" hidden="false" customHeight="false" outlineLevel="0" collapsed="false">
      <c r="A269" s="3"/>
      <c r="B269" s="4"/>
      <c r="C269" s="5"/>
      <c r="D269" s="5"/>
      <c r="E269" s="5"/>
      <c r="F269" s="5"/>
      <c r="G269" s="5"/>
      <c r="H269" s="5"/>
      <c r="I269" s="3" t="str">
        <f aca="false">IF(H269="","",HYPERLINK("https://wa.me/55"&amp;SUBSTITUTE(SUBSTITUTE(SUBSTITUTE(SUBSTITUTE(H269,"(",""),")",""),"-","")," ",""),"Abrir"))</f>
        <v/>
      </c>
      <c r="J269" s="3"/>
      <c r="K269" s="5"/>
      <c r="L269" s="5"/>
      <c r="M269" s="6"/>
      <c r="N269" s="4" t="str">
        <f aca="false">IF(M269="","",WORKDAY(M269,3))</f>
        <v/>
      </c>
      <c r="O269" s="4" t="str">
        <f aca="false">IF(M269="","",WORKDAY(M269,7))</f>
        <v/>
      </c>
      <c r="P269" s="4" t="str">
        <f aca="false">IF(M269="","",WORKDAY(M269,30))</f>
        <v/>
      </c>
      <c r="Q269" s="4" t="str">
        <f aca="true">IF(M269="","",IF(OR(T269="Sim",COUNTIF({"FECHADO";"Perdido";"Descartado"},L269)&gt;0),"",IF(TODAY()&lt;N269,N269,IF(TODAY()&lt;O269,O269,IF(TODAY()&lt;=P269,P269,"")))))</f>
        <v/>
      </c>
      <c r="R269" s="3" t="str">
        <f aca="true">IF(C269="","",IF(COUNTIF({"FECHADO";"Perdido";"Descartado"},L269)&gt;0,"-",IF(M269="","INICIAR",IF(T269="Sim","RESPONDEU",IF(Q269="","ESGOTADO",IF(Q269&lt;TODAY(),"ATRASADO",IF(Q269=TODAY(),"HOJE","No prazo")))))))</f>
        <v/>
      </c>
      <c r="S269" s="3" t="str">
        <f aca="true">IF(M269="","",TODAY()-M269)</f>
        <v/>
      </c>
      <c r="T269" s="7"/>
      <c r="U269" s="8"/>
      <c r="V269" s="8"/>
      <c r="W269" s="8"/>
      <c r="X269" s="4"/>
      <c r="Y269" s="5"/>
    </row>
    <row r="270" customFormat="false" ht="15" hidden="false" customHeight="false" outlineLevel="0" collapsed="false">
      <c r="A270" s="9"/>
      <c r="B270" s="10"/>
      <c r="C270" s="5"/>
      <c r="D270" s="5"/>
      <c r="E270" s="5"/>
      <c r="F270" s="5"/>
      <c r="G270" s="5"/>
      <c r="H270" s="5"/>
      <c r="I270" s="9" t="str">
        <f aca="false">IF(H270="","",HYPERLINK("https://wa.me/55"&amp;SUBSTITUTE(SUBSTITUTE(SUBSTITUTE(SUBSTITUTE(H270,"(",""),")",""),"-","")," ",""),"Abrir"))</f>
        <v/>
      </c>
      <c r="J270" s="9"/>
      <c r="K270" s="5"/>
      <c r="L270" s="5"/>
      <c r="M270" s="6"/>
      <c r="N270" s="10" t="str">
        <f aca="false">IF(M270="","",WORKDAY(M270,3))</f>
        <v/>
      </c>
      <c r="O270" s="10" t="str">
        <f aca="false">IF(M270="","",WORKDAY(M270,7))</f>
        <v/>
      </c>
      <c r="P270" s="10" t="str">
        <f aca="false">IF(M270="","",WORKDAY(M270,30))</f>
        <v/>
      </c>
      <c r="Q270" s="10" t="str">
        <f aca="true">IF(M270="","",IF(OR(T270="Sim",COUNTIF({"FECHADO";"Perdido";"Descartado"},L270)&gt;0),"",IF(TODAY()&lt;N270,N270,IF(TODAY()&lt;O270,O270,IF(TODAY()&lt;=P270,P270,"")))))</f>
        <v/>
      </c>
      <c r="R270" s="9" t="str">
        <f aca="true">IF(C270="","",IF(COUNTIF({"FECHADO";"Perdido";"Descartado"},L270)&gt;0,"-",IF(M270="","INICIAR",IF(T270="Sim","RESPONDEU",IF(Q270="","ESGOTADO",IF(Q270&lt;TODAY(),"ATRASADO",IF(Q270=TODAY(),"HOJE","No prazo")))))))</f>
        <v/>
      </c>
      <c r="S270" s="9" t="str">
        <f aca="true">IF(M270="","",TODAY()-M270)</f>
        <v/>
      </c>
      <c r="T270" s="7"/>
      <c r="U270" s="11"/>
      <c r="V270" s="11"/>
      <c r="W270" s="11"/>
      <c r="X270" s="10"/>
      <c r="Y270" s="5"/>
    </row>
    <row r="271" customFormat="false" ht="15" hidden="false" customHeight="false" outlineLevel="0" collapsed="false">
      <c r="A271" s="3"/>
      <c r="B271" s="4"/>
      <c r="C271" s="5"/>
      <c r="D271" s="5"/>
      <c r="E271" s="5"/>
      <c r="F271" s="5"/>
      <c r="G271" s="5"/>
      <c r="H271" s="5"/>
      <c r="I271" s="3" t="str">
        <f aca="false">IF(H271="","",HYPERLINK("https://wa.me/55"&amp;SUBSTITUTE(SUBSTITUTE(SUBSTITUTE(SUBSTITUTE(H271,"(",""),")",""),"-","")," ",""),"Abrir"))</f>
        <v/>
      </c>
      <c r="J271" s="3"/>
      <c r="K271" s="5"/>
      <c r="L271" s="5"/>
      <c r="M271" s="6"/>
      <c r="N271" s="4" t="str">
        <f aca="false">IF(M271="","",WORKDAY(M271,3))</f>
        <v/>
      </c>
      <c r="O271" s="4" t="str">
        <f aca="false">IF(M271="","",WORKDAY(M271,7))</f>
        <v/>
      </c>
      <c r="P271" s="4" t="str">
        <f aca="false">IF(M271="","",WORKDAY(M271,30))</f>
        <v/>
      </c>
      <c r="Q271" s="4" t="str">
        <f aca="true">IF(M271="","",IF(OR(T271="Sim",COUNTIF({"FECHADO";"Perdido";"Descartado"},L271)&gt;0),"",IF(TODAY()&lt;N271,N271,IF(TODAY()&lt;O271,O271,IF(TODAY()&lt;=P271,P271,"")))))</f>
        <v/>
      </c>
      <c r="R271" s="3" t="str">
        <f aca="true">IF(C271="","",IF(COUNTIF({"FECHADO";"Perdido";"Descartado"},L271)&gt;0,"-",IF(M271="","INICIAR",IF(T271="Sim","RESPONDEU",IF(Q271="","ESGOTADO",IF(Q271&lt;TODAY(),"ATRASADO",IF(Q271=TODAY(),"HOJE","No prazo")))))))</f>
        <v/>
      </c>
      <c r="S271" s="3" t="str">
        <f aca="true">IF(M271="","",TODAY()-M271)</f>
        <v/>
      </c>
      <c r="T271" s="7"/>
      <c r="U271" s="8"/>
      <c r="V271" s="8"/>
      <c r="W271" s="8"/>
      <c r="X271" s="4"/>
      <c r="Y271" s="5"/>
    </row>
    <row r="272" customFormat="false" ht="15" hidden="false" customHeight="false" outlineLevel="0" collapsed="false">
      <c r="A272" s="9"/>
      <c r="B272" s="10"/>
      <c r="C272" s="5"/>
      <c r="D272" s="5"/>
      <c r="E272" s="5"/>
      <c r="F272" s="5"/>
      <c r="G272" s="5"/>
      <c r="H272" s="5"/>
      <c r="I272" s="9" t="str">
        <f aca="false">IF(H272="","",HYPERLINK("https://wa.me/55"&amp;SUBSTITUTE(SUBSTITUTE(SUBSTITUTE(SUBSTITUTE(H272,"(",""),")",""),"-","")," ",""),"Abrir"))</f>
        <v/>
      </c>
      <c r="J272" s="9"/>
      <c r="K272" s="5"/>
      <c r="L272" s="5"/>
      <c r="M272" s="6"/>
      <c r="N272" s="10" t="str">
        <f aca="false">IF(M272="","",WORKDAY(M272,3))</f>
        <v/>
      </c>
      <c r="O272" s="10" t="str">
        <f aca="false">IF(M272="","",WORKDAY(M272,7))</f>
        <v/>
      </c>
      <c r="P272" s="10" t="str">
        <f aca="false">IF(M272="","",WORKDAY(M272,30))</f>
        <v/>
      </c>
      <c r="Q272" s="10" t="str">
        <f aca="true">IF(M272="","",IF(OR(T272="Sim",COUNTIF({"FECHADO";"Perdido";"Descartado"},L272)&gt;0),"",IF(TODAY()&lt;N272,N272,IF(TODAY()&lt;O272,O272,IF(TODAY()&lt;=P272,P272,"")))))</f>
        <v/>
      </c>
      <c r="R272" s="9" t="str">
        <f aca="true">IF(C272="","",IF(COUNTIF({"FECHADO";"Perdido";"Descartado"},L272)&gt;0,"-",IF(M272="","INICIAR",IF(T272="Sim","RESPONDEU",IF(Q272="","ESGOTADO",IF(Q272&lt;TODAY(),"ATRASADO",IF(Q272=TODAY(),"HOJE","No prazo")))))))</f>
        <v/>
      </c>
      <c r="S272" s="9" t="str">
        <f aca="true">IF(M272="","",TODAY()-M272)</f>
        <v/>
      </c>
      <c r="T272" s="7"/>
      <c r="U272" s="11"/>
      <c r="V272" s="11"/>
      <c r="W272" s="11"/>
      <c r="X272" s="10"/>
      <c r="Y272" s="5"/>
    </row>
    <row r="273" customFormat="false" ht="15" hidden="false" customHeight="false" outlineLevel="0" collapsed="false">
      <c r="A273" s="3"/>
      <c r="B273" s="4"/>
      <c r="C273" s="5"/>
      <c r="D273" s="5"/>
      <c r="E273" s="5"/>
      <c r="F273" s="5"/>
      <c r="G273" s="5"/>
      <c r="H273" s="5"/>
      <c r="I273" s="3" t="str">
        <f aca="false">IF(H273="","",HYPERLINK("https://wa.me/55"&amp;SUBSTITUTE(SUBSTITUTE(SUBSTITUTE(SUBSTITUTE(H273,"(",""),")",""),"-","")," ",""),"Abrir"))</f>
        <v/>
      </c>
      <c r="J273" s="3"/>
      <c r="K273" s="5"/>
      <c r="L273" s="5"/>
      <c r="M273" s="6"/>
      <c r="N273" s="4" t="str">
        <f aca="false">IF(M273="","",WORKDAY(M273,3))</f>
        <v/>
      </c>
      <c r="O273" s="4" t="str">
        <f aca="false">IF(M273="","",WORKDAY(M273,7))</f>
        <v/>
      </c>
      <c r="P273" s="4" t="str">
        <f aca="false">IF(M273="","",WORKDAY(M273,30))</f>
        <v/>
      </c>
      <c r="Q273" s="4" t="str">
        <f aca="true">IF(M273="","",IF(OR(T273="Sim",COUNTIF({"FECHADO";"Perdido";"Descartado"},L273)&gt;0),"",IF(TODAY()&lt;N273,N273,IF(TODAY()&lt;O273,O273,IF(TODAY()&lt;=P273,P273,"")))))</f>
        <v/>
      </c>
      <c r="R273" s="3" t="str">
        <f aca="true">IF(C273="","",IF(COUNTIF({"FECHADO";"Perdido";"Descartado"},L273)&gt;0,"-",IF(M273="","INICIAR",IF(T273="Sim","RESPONDEU",IF(Q273="","ESGOTADO",IF(Q273&lt;TODAY(),"ATRASADO",IF(Q273=TODAY(),"HOJE","No prazo")))))))</f>
        <v/>
      </c>
      <c r="S273" s="3" t="str">
        <f aca="true">IF(M273="","",TODAY()-M273)</f>
        <v/>
      </c>
      <c r="T273" s="7"/>
      <c r="U273" s="8"/>
      <c r="V273" s="8"/>
      <c r="W273" s="8"/>
      <c r="X273" s="4"/>
      <c r="Y273" s="5"/>
    </row>
    <row r="274" customFormat="false" ht="15" hidden="false" customHeight="false" outlineLevel="0" collapsed="false">
      <c r="A274" s="9"/>
      <c r="B274" s="10"/>
      <c r="C274" s="5"/>
      <c r="D274" s="5"/>
      <c r="E274" s="5"/>
      <c r="F274" s="5"/>
      <c r="G274" s="5"/>
      <c r="H274" s="5"/>
      <c r="I274" s="9" t="str">
        <f aca="false">IF(H274="","",HYPERLINK("https://wa.me/55"&amp;SUBSTITUTE(SUBSTITUTE(SUBSTITUTE(SUBSTITUTE(H274,"(",""),")",""),"-","")," ",""),"Abrir"))</f>
        <v/>
      </c>
      <c r="J274" s="9"/>
      <c r="K274" s="5"/>
      <c r="L274" s="5"/>
      <c r="M274" s="6"/>
      <c r="N274" s="10" t="str">
        <f aca="false">IF(M274="","",WORKDAY(M274,3))</f>
        <v/>
      </c>
      <c r="O274" s="10" t="str">
        <f aca="false">IF(M274="","",WORKDAY(M274,7))</f>
        <v/>
      </c>
      <c r="P274" s="10" t="str">
        <f aca="false">IF(M274="","",WORKDAY(M274,30))</f>
        <v/>
      </c>
      <c r="Q274" s="10" t="str">
        <f aca="true">IF(M274="","",IF(OR(T274="Sim",COUNTIF({"FECHADO";"Perdido";"Descartado"},L274)&gt;0),"",IF(TODAY()&lt;N274,N274,IF(TODAY()&lt;O274,O274,IF(TODAY()&lt;=P274,P274,"")))))</f>
        <v/>
      </c>
      <c r="R274" s="9" t="str">
        <f aca="true">IF(C274="","",IF(COUNTIF({"FECHADO";"Perdido";"Descartado"},L274)&gt;0,"-",IF(M274="","INICIAR",IF(T274="Sim","RESPONDEU",IF(Q274="","ESGOTADO",IF(Q274&lt;TODAY(),"ATRASADO",IF(Q274=TODAY(),"HOJE","No prazo")))))))</f>
        <v/>
      </c>
      <c r="S274" s="9" t="str">
        <f aca="true">IF(M274="","",TODAY()-M274)</f>
        <v/>
      </c>
      <c r="T274" s="7"/>
      <c r="U274" s="11"/>
      <c r="V274" s="11"/>
      <c r="W274" s="11"/>
      <c r="X274" s="10"/>
      <c r="Y274" s="5"/>
    </row>
    <row r="275" customFormat="false" ht="15" hidden="false" customHeight="false" outlineLevel="0" collapsed="false">
      <c r="A275" s="3"/>
      <c r="B275" s="4"/>
      <c r="C275" s="5"/>
      <c r="D275" s="5"/>
      <c r="E275" s="5"/>
      <c r="F275" s="5"/>
      <c r="G275" s="5"/>
      <c r="H275" s="5"/>
      <c r="I275" s="3" t="str">
        <f aca="false">IF(H275="","",HYPERLINK("https://wa.me/55"&amp;SUBSTITUTE(SUBSTITUTE(SUBSTITUTE(SUBSTITUTE(H275,"(",""),")",""),"-","")," ",""),"Abrir"))</f>
        <v/>
      </c>
      <c r="J275" s="3"/>
      <c r="K275" s="5"/>
      <c r="L275" s="5"/>
      <c r="M275" s="6"/>
      <c r="N275" s="4" t="str">
        <f aca="false">IF(M275="","",WORKDAY(M275,3))</f>
        <v/>
      </c>
      <c r="O275" s="4" t="str">
        <f aca="false">IF(M275="","",WORKDAY(M275,7))</f>
        <v/>
      </c>
      <c r="P275" s="4" t="str">
        <f aca="false">IF(M275="","",WORKDAY(M275,30))</f>
        <v/>
      </c>
      <c r="Q275" s="4" t="str">
        <f aca="true">IF(M275="","",IF(OR(T275="Sim",COUNTIF({"FECHADO";"Perdido";"Descartado"},L275)&gt;0),"",IF(TODAY()&lt;N275,N275,IF(TODAY()&lt;O275,O275,IF(TODAY()&lt;=P275,P275,"")))))</f>
        <v/>
      </c>
      <c r="R275" s="3" t="str">
        <f aca="true">IF(C275="","",IF(COUNTIF({"FECHADO";"Perdido";"Descartado"},L275)&gt;0,"-",IF(M275="","INICIAR",IF(T275="Sim","RESPONDEU",IF(Q275="","ESGOTADO",IF(Q275&lt;TODAY(),"ATRASADO",IF(Q275=TODAY(),"HOJE","No prazo")))))))</f>
        <v/>
      </c>
      <c r="S275" s="3" t="str">
        <f aca="true">IF(M275="","",TODAY()-M275)</f>
        <v/>
      </c>
      <c r="T275" s="7"/>
      <c r="U275" s="8"/>
      <c r="V275" s="8"/>
      <c r="W275" s="8"/>
      <c r="X275" s="4"/>
      <c r="Y275" s="5"/>
    </row>
    <row r="276" customFormat="false" ht="15" hidden="false" customHeight="false" outlineLevel="0" collapsed="false">
      <c r="A276" s="9"/>
      <c r="B276" s="10"/>
      <c r="C276" s="5"/>
      <c r="D276" s="5"/>
      <c r="E276" s="5"/>
      <c r="F276" s="5"/>
      <c r="G276" s="5"/>
      <c r="H276" s="5"/>
      <c r="I276" s="9" t="str">
        <f aca="false">IF(H276="","",HYPERLINK("https://wa.me/55"&amp;SUBSTITUTE(SUBSTITUTE(SUBSTITUTE(SUBSTITUTE(H276,"(",""),")",""),"-","")," ",""),"Abrir"))</f>
        <v/>
      </c>
      <c r="J276" s="9"/>
      <c r="K276" s="5"/>
      <c r="L276" s="5"/>
      <c r="M276" s="6"/>
      <c r="N276" s="10" t="str">
        <f aca="false">IF(M276="","",WORKDAY(M276,3))</f>
        <v/>
      </c>
      <c r="O276" s="10" t="str">
        <f aca="false">IF(M276="","",WORKDAY(M276,7))</f>
        <v/>
      </c>
      <c r="P276" s="10" t="str">
        <f aca="false">IF(M276="","",WORKDAY(M276,30))</f>
        <v/>
      </c>
      <c r="Q276" s="10" t="str">
        <f aca="true">IF(M276="","",IF(OR(T276="Sim",COUNTIF({"FECHADO";"Perdido";"Descartado"},L276)&gt;0),"",IF(TODAY()&lt;N276,N276,IF(TODAY()&lt;O276,O276,IF(TODAY()&lt;=P276,P276,"")))))</f>
        <v/>
      </c>
      <c r="R276" s="9" t="str">
        <f aca="true">IF(C276="","",IF(COUNTIF({"FECHADO";"Perdido";"Descartado"},L276)&gt;0,"-",IF(M276="","INICIAR",IF(T276="Sim","RESPONDEU",IF(Q276="","ESGOTADO",IF(Q276&lt;TODAY(),"ATRASADO",IF(Q276=TODAY(),"HOJE","No prazo")))))))</f>
        <v/>
      </c>
      <c r="S276" s="9" t="str">
        <f aca="true">IF(M276="","",TODAY()-M276)</f>
        <v/>
      </c>
      <c r="T276" s="7"/>
      <c r="U276" s="11"/>
      <c r="V276" s="11"/>
      <c r="W276" s="11"/>
      <c r="X276" s="10"/>
      <c r="Y276" s="5"/>
    </row>
    <row r="277" customFormat="false" ht="15" hidden="false" customHeight="false" outlineLevel="0" collapsed="false">
      <c r="A277" s="3"/>
      <c r="B277" s="4"/>
      <c r="C277" s="5"/>
      <c r="D277" s="5"/>
      <c r="E277" s="5"/>
      <c r="F277" s="5"/>
      <c r="G277" s="5"/>
      <c r="H277" s="5"/>
      <c r="I277" s="3" t="str">
        <f aca="false">IF(H277="","",HYPERLINK("https://wa.me/55"&amp;SUBSTITUTE(SUBSTITUTE(SUBSTITUTE(SUBSTITUTE(H277,"(",""),")",""),"-","")," ",""),"Abrir"))</f>
        <v/>
      </c>
      <c r="J277" s="3"/>
      <c r="K277" s="5"/>
      <c r="L277" s="5"/>
      <c r="M277" s="6"/>
      <c r="N277" s="4" t="str">
        <f aca="false">IF(M277="","",WORKDAY(M277,3))</f>
        <v/>
      </c>
      <c r="O277" s="4" t="str">
        <f aca="false">IF(M277="","",WORKDAY(M277,7))</f>
        <v/>
      </c>
      <c r="P277" s="4" t="str">
        <f aca="false">IF(M277="","",WORKDAY(M277,30))</f>
        <v/>
      </c>
      <c r="Q277" s="4" t="str">
        <f aca="true">IF(M277="","",IF(OR(T277="Sim",COUNTIF({"FECHADO";"Perdido";"Descartado"},L277)&gt;0),"",IF(TODAY()&lt;N277,N277,IF(TODAY()&lt;O277,O277,IF(TODAY()&lt;=P277,P277,"")))))</f>
        <v/>
      </c>
      <c r="R277" s="3" t="str">
        <f aca="true">IF(C277="","",IF(COUNTIF({"FECHADO";"Perdido";"Descartado"},L277)&gt;0,"-",IF(M277="","INICIAR",IF(T277="Sim","RESPONDEU",IF(Q277="","ESGOTADO",IF(Q277&lt;TODAY(),"ATRASADO",IF(Q277=TODAY(),"HOJE","No prazo")))))))</f>
        <v/>
      </c>
      <c r="S277" s="3" t="str">
        <f aca="true">IF(M277="","",TODAY()-M277)</f>
        <v/>
      </c>
      <c r="T277" s="7"/>
      <c r="U277" s="8"/>
      <c r="V277" s="8"/>
      <c r="W277" s="8"/>
      <c r="X277" s="4"/>
      <c r="Y277" s="5"/>
    </row>
    <row r="278" customFormat="false" ht="15" hidden="false" customHeight="false" outlineLevel="0" collapsed="false">
      <c r="A278" s="9"/>
      <c r="B278" s="10"/>
      <c r="C278" s="5"/>
      <c r="D278" s="5"/>
      <c r="E278" s="5"/>
      <c r="F278" s="5"/>
      <c r="G278" s="5"/>
      <c r="H278" s="5"/>
      <c r="I278" s="9" t="str">
        <f aca="false">IF(H278="","",HYPERLINK("https://wa.me/55"&amp;SUBSTITUTE(SUBSTITUTE(SUBSTITUTE(SUBSTITUTE(H278,"(",""),")",""),"-","")," ",""),"Abrir"))</f>
        <v/>
      </c>
      <c r="J278" s="9"/>
      <c r="K278" s="5"/>
      <c r="L278" s="5"/>
      <c r="M278" s="6"/>
      <c r="N278" s="10" t="str">
        <f aca="false">IF(M278="","",WORKDAY(M278,3))</f>
        <v/>
      </c>
      <c r="O278" s="10" t="str">
        <f aca="false">IF(M278="","",WORKDAY(M278,7))</f>
        <v/>
      </c>
      <c r="P278" s="10" t="str">
        <f aca="false">IF(M278="","",WORKDAY(M278,30))</f>
        <v/>
      </c>
      <c r="Q278" s="10" t="str">
        <f aca="true">IF(M278="","",IF(OR(T278="Sim",COUNTIF({"FECHADO";"Perdido";"Descartado"},L278)&gt;0),"",IF(TODAY()&lt;N278,N278,IF(TODAY()&lt;O278,O278,IF(TODAY()&lt;=P278,P278,"")))))</f>
        <v/>
      </c>
      <c r="R278" s="9" t="str">
        <f aca="true">IF(C278="","",IF(COUNTIF({"FECHADO";"Perdido";"Descartado"},L278)&gt;0,"-",IF(M278="","INICIAR",IF(T278="Sim","RESPONDEU",IF(Q278="","ESGOTADO",IF(Q278&lt;TODAY(),"ATRASADO",IF(Q278=TODAY(),"HOJE","No prazo")))))))</f>
        <v/>
      </c>
      <c r="S278" s="9" t="str">
        <f aca="true">IF(M278="","",TODAY()-M278)</f>
        <v/>
      </c>
      <c r="T278" s="7"/>
      <c r="U278" s="11"/>
      <c r="V278" s="11"/>
      <c r="W278" s="11"/>
      <c r="X278" s="10"/>
      <c r="Y278" s="5"/>
    </row>
    <row r="279" customFormat="false" ht="15" hidden="false" customHeight="false" outlineLevel="0" collapsed="false">
      <c r="A279" s="3"/>
      <c r="B279" s="4"/>
      <c r="C279" s="5"/>
      <c r="D279" s="5"/>
      <c r="E279" s="5"/>
      <c r="F279" s="5"/>
      <c r="G279" s="5"/>
      <c r="H279" s="5"/>
      <c r="I279" s="3" t="str">
        <f aca="false">IF(H279="","",HYPERLINK("https://wa.me/55"&amp;SUBSTITUTE(SUBSTITUTE(SUBSTITUTE(SUBSTITUTE(H279,"(",""),")",""),"-","")," ",""),"Abrir"))</f>
        <v/>
      </c>
      <c r="J279" s="3"/>
      <c r="K279" s="5"/>
      <c r="L279" s="5"/>
      <c r="M279" s="6"/>
      <c r="N279" s="4" t="str">
        <f aca="false">IF(M279="","",WORKDAY(M279,3))</f>
        <v/>
      </c>
      <c r="O279" s="4" t="str">
        <f aca="false">IF(M279="","",WORKDAY(M279,7))</f>
        <v/>
      </c>
      <c r="P279" s="4" t="str">
        <f aca="false">IF(M279="","",WORKDAY(M279,30))</f>
        <v/>
      </c>
      <c r="Q279" s="4" t="str">
        <f aca="true">IF(M279="","",IF(OR(T279="Sim",COUNTIF({"FECHADO";"Perdido";"Descartado"},L279)&gt;0),"",IF(TODAY()&lt;N279,N279,IF(TODAY()&lt;O279,O279,IF(TODAY()&lt;=P279,P279,"")))))</f>
        <v/>
      </c>
      <c r="R279" s="3" t="str">
        <f aca="true">IF(C279="","",IF(COUNTIF({"FECHADO";"Perdido";"Descartado"},L279)&gt;0,"-",IF(M279="","INICIAR",IF(T279="Sim","RESPONDEU",IF(Q279="","ESGOTADO",IF(Q279&lt;TODAY(),"ATRASADO",IF(Q279=TODAY(),"HOJE","No prazo")))))))</f>
        <v/>
      </c>
      <c r="S279" s="3" t="str">
        <f aca="true">IF(M279="","",TODAY()-M279)</f>
        <v/>
      </c>
      <c r="T279" s="7"/>
      <c r="U279" s="8"/>
      <c r="V279" s="8"/>
      <c r="W279" s="8"/>
      <c r="X279" s="4"/>
      <c r="Y279" s="5"/>
    </row>
    <row r="280" customFormat="false" ht="15" hidden="false" customHeight="false" outlineLevel="0" collapsed="false">
      <c r="A280" s="9"/>
      <c r="B280" s="10"/>
      <c r="C280" s="5"/>
      <c r="D280" s="5"/>
      <c r="E280" s="5"/>
      <c r="F280" s="5"/>
      <c r="G280" s="5"/>
      <c r="H280" s="5"/>
      <c r="I280" s="9" t="str">
        <f aca="false">IF(H280="","",HYPERLINK("https://wa.me/55"&amp;SUBSTITUTE(SUBSTITUTE(SUBSTITUTE(SUBSTITUTE(H280,"(",""),")",""),"-","")," ",""),"Abrir"))</f>
        <v/>
      </c>
      <c r="J280" s="9"/>
      <c r="K280" s="5"/>
      <c r="L280" s="5"/>
      <c r="M280" s="6"/>
      <c r="N280" s="10" t="str">
        <f aca="false">IF(M280="","",WORKDAY(M280,3))</f>
        <v/>
      </c>
      <c r="O280" s="10" t="str">
        <f aca="false">IF(M280="","",WORKDAY(M280,7))</f>
        <v/>
      </c>
      <c r="P280" s="10" t="str">
        <f aca="false">IF(M280="","",WORKDAY(M280,30))</f>
        <v/>
      </c>
      <c r="Q280" s="10" t="str">
        <f aca="true">IF(M280="","",IF(OR(T280="Sim",COUNTIF({"FECHADO";"Perdido";"Descartado"},L280)&gt;0),"",IF(TODAY()&lt;N280,N280,IF(TODAY()&lt;O280,O280,IF(TODAY()&lt;=P280,P280,"")))))</f>
        <v/>
      </c>
      <c r="R280" s="9" t="str">
        <f aca="true">IF(C280="","",IF(COUNTIF({"FECHADO";"Perdido";"Descartado"},L280)&gt;0,"-",IF(M280="","INICIAR",IF(T280="Sim","RESPONDEU",IF(Q280="","ESGOTADO",IF(Q280&lt;TODAY(),"ATRASADO",IF(Q280=TODAY(),"HOJE","No prazo")))))))</f>
        <v/>
      </c>
      <c r="S280" s="9" t="str">
        <f aca="true">IF(M280="","",TODAY()-M280)</f>
        <v/>
      </c>
      <c r="T280" s="7"/>
      <c r="U280" s="11"/>
      <c r="V280" s="11"/>
      <c r="W280" s="11"/>
      <c r="X280" s="10"/>
      <c r="Y280" s="5"/>
    </row>
    <row r="281" customFormat="false" ht="15" hidden="false" customHeight="false" outlineLevel="0" collapsed="false">
      <c r="A281" s="3"/>
      <c r="B281" s="4"/>
      <c r="C281" s="5"/>
      <c r="D281" s="5"/>
      <c r="E281" s="5"/>
      <c r="F281" s="5"/>
      <c r="G281" s="5"/>
      <c r="H281" s="5"/>
      <c r="I281" s="3" t="str">
        <f aca="false">IF(H281="","",HYPERLINK("https://wa.me/55"&amp;SUBSTITUTE(SUBSTITUTE(SUBSTITUTE(SUBSTITUTE(H281,"(",""),")",""),"-","")," ",""),"Abrir"))</f>
        <v/>
      </c>
      <c r="J281" s="3"/>
      <c r="K281" s="5"/>
      <c r="L281" s="5"/>
      <c r="M281" s="6"/>
      <c r="N281" s="4" t="str">
        <f aca="false">IF(M281="","",WORKDAY(M281,3))</f>
        <v/>
      </c>
      <c r="O281" s="4" t="str">
        <f aca="false">IF(M281="","",WORKDAY(M281,7))</f>
        <v/>
      </c>
      <c r="P281" s="4" t="str">
        <f aca="false">IF(M281="","",WORKDAY(M281,30))</f>
        <v/>
      </c>
      <c r="Q281" s="4" t="str">
        <f aca="true">IF(M281="","",IF(OR(T281="Sim",COUNTIF({"FECHADO";"Perdido";"Descartado"},L281)&gt;0),"",IF(TODAY()&lt;N281,N281,IF(TODAY()&lt;O281,O281,IF(TODAY()&lt;=P281,P281,"")))))</f>
        <v/>
      </c>
      <c r="R281" s="3" t="str">
        <f aca="true">IF(C281="","",IF(COUNTIF({"FECHADO";"Perdido";"Descartado"},L281)&gt;0,"-",IF(M281="","INICIAR",IF(T281="Sim","RESPONDEU",IF(Q281="","ESGOTADO",IF(Q281&lt;TODAY(),"ATRASADO",IF(Q281=TODAY(),"HOJE","No prazo")))))))</f>
        <v/>
      </c>
      <c r="S281" s="3" t="str">
        <f aca="true">IF(M281="","",TODAY()-M281)</f>
        <v/>
      </c>
      <c r="T281" s="7"/>
      <c r="U281" s="8"/>
      <c r="V281" s="8"/>
      <c r="W281" s="8"/>
      <c r="X281" s="4"/>
      <c r="Y281" s="5"/>
    </row>
    <row r="282" customFormat="false" ht="15" hidden="false" customHeight="false" outlineLevel="0" collapsed="false">
      <c r="A282" s="9"/>
      <c r="B282" s="10"/>
      <c r="C282" s="5"/>
      <c r="D282" s="5"/>
      <c r="E282" s="5"/>
      <c r="F282" s="5"/>
      <c r="G282" s="5"/>
      <c r="H282" s="5"/>
      <c r="I282" s="9" t="str">
        <f aca="false">IF(H282="","",HYPERLINK("https://wa.me/55"&amp;SUBSTITUTE(SUBSTITUTE(SUBSTITUTE(SUBSTITUTE(H282,"(",""),")",""),"-","")," ",""),"Abrir"))</f>
        <v/>
      </c>
      <c r="J282" s="9"/>
      <c r="K282" s="5"/>
      <c r="L282" s="5"/>
      <c r="M282" s="6"/>
      <c r="N282" s="10" t="str">
        <f aca="false">IF(M282="","",WORKDAY(M282,3))</f>
        <v/>
      </c>
      <c r="O282" s="10" t="str">
        <f aca="false">IF(M282="","",WORKDAY(M282,7))</f>
        <v/>
      </c>
      <c r="P282" s="10" t="str">
        <f aca="false">IF(M282="","",WORKDAY(M282,30))</f>
        <v/>
      </c>
      <c r="Q282" s="10" t="str">
        <f aca="true">IF(M282="","",IF(OR(T282="Sim",COUNTIF({"FECHADO";"Perdido";"Descartado"},L282)&gt;0),"",IF(TODAY()&lt;N282,N282,IF(TODAY()&lt;O282,O282,IF(TODAY()&lt;=P282,P282,"")))))</f>
        <v/>
      </c>
      <c r="R282" s="9" t="str">
        <f aca="true">IF(C282="","",IF(COUNTIF({"FECHADO";"Perdido";"Descartado"},L282)&gt;0,"-",IF(M282="","INICIAR",IF(T282="Sim","RESPONDEU",IF(Q282="","ESGOTADO",IF(Q282&lt;TODAY(),"ATRASADO",IF(Q282=TODAY(),"HOJE","No prazo")))))))</f>
        <v/>
      </c>
      <c r="S282" s="9" t="str">
        <f aca="true">IF(M282="","",TODAY()-M282)</f>
        <v/>
      </c>
      <c r="T282" s="7"/>
      <c r="U282" s="11"/>
      <c r="V282" s="11"/>
      <c r="W282" s="11"/>
      <c r="X282" s="10"/>
      <c r="Y282" s="5"/>
    </row>
    <row r="283" customFormat="false" ht="15" hidden="false" customHeight="false" outlineLevel="0" collapsed="false">
      <c r="A283" s="3"/>
      <c r="B283" s="4"/>
      <c r="C283" s="5"/>
      <c r="D283" s="5"/>
      <c r="E283" s="5"/>
      <c r="F283" s="5"/>
      <c r="G283" s="5"/>
      <c r="H283" s="5"/>
      <c r="I283" s="3" t="str">
        <f aca="false">IF(H283="","",HYPERLINK("https://wa.me/55"&amp;SUBSTITUTE(SUBSTITUTE(SUBSTITUTE(SUBSTITUTE(H283,"(",""),")",""),"-","")," ",""),"Abrir"))</f>
        <v/>
      </c>
      <c r="J283" s="3"/>
      <c r="K283" s="5"/>
      <c r="L283" s="5"/>
      <c r="M283" s="6"/>
      <c r="N283" s="4" t="str">
        <f aca="false">IF(M283="","",WORKDAY(M283,3))</f>
        <v/>
      </c>
      <c r="O283" s="4" t="str">
        <f aca="false">IF(M283="","",WORKDAY(M283,7))</f>
        <v/>
      </c>
      <c r="P283" s="4" t="str">
        <f aca="false">IF(M283="","",WORKDAY(M283,30))</f>
        <v/>
      </c>
      <c r="Q283" s="4" t="str">
        <f aca="true">IF(M283="","",IF(OR(T283="Sim",COUNTIF({"FECHADO";"Perdido";"Descartado"},L283)&gt;0),"",IF(TODAY()&lt;N283,N283,IF(TODAY()&lt;O283,O283,IF(TODAY()&lt;=P283,P283,"")))))</f>
        <v/>
      </c>
      <c r="R283" s="3" t="str">
        <f aca="true">IF(C283="","",IF(COUNTIF({"FECHADO";"Perdido";"Descartado"},L283)&gt;0,"-",IF(M283="","INICIAR",IF(T283="Sim","RESPONDEU",IF(Q283="","ESGOTADO",IF(Q283&lt;TODAY(),"ATRASADO",IF(Q283=TODAY(),"HOJE","No prazo")))))))</f>
        <v/>
      </c>
      <c r="S283" s="3" t="str">
        <f aca="true">IF(M283="","",TODAY()-M283)</f>
        <v/>
      </c>
      <c r="T283" s="7"/>
      <c r="U283" s="8"/>
      <c r="V283" s="8"/>
      <c r="W283" s="8"/>
      <c r="X283" s="4"/>
      <c r="Y283" s="5"/>
    </row>
    <row r="284" customFormat="false" ht="15" hidden="false" customHeight="false" outlineLevel="0" collapsed="false">
      <c r="A284" s="9"/>
      <c r="B284" s="10"/>
      <c r="C284" s="5"/>
      <c r="D284" s="5"/>
      <c r="E284" s="5"/>
      <c r="F284" s="5"/>
      <c r="G284" s="5"/>
      <c r="H284" s="5"/>
      <c r="I284" s="9" t="str">
        <f aca="false">IF(H284="","",HYPERLINK("https://wa.me/55"&amp;SUBSTITUTE(SUBSTITUTE(SUBSTITUTE(SUBSTITUTE(H284,"(",""),")",""),"-","")," ",""),"Abrir"))</f>
        <v/>
      </c>
      <c r="J284" s="9"/>
      <c r="K284" s="5"/>
      <c r="L284" s="5"/>
      <c r="M284" s="6"/>
      <c r="N284" s="10" t="str">
        <f aca="false">IF(M284="","",WORKDAY(M284,3))</f>
        <v/>
      </c>
      <c r="O284" s="10" t="str">
        <f aca="false">IF(M284="","",WORKDAY(M284,7))</f>
        <v/>
      </c>
      <c r="P284" s="10" t="str">
        <f aca="false">IF(M284="","",WORKDAY(M284,30))</f>
        <v/>
      </c>
      <c r="Q284" s="10" t="str">
        <f aca="true">IF(M284="","",IF(OR(T284="Sim",COUNTIF({"FECHADO";"Perdido";"Descartado"},L284)&gt;0),"",IF(TODAY()&lt;N284,N284,IF(TODAY()&lt;O284,O284,IF(TODAY()&lt;=P284,P284,"")))))</f>
        <v/>
      </c>
      <c r="R284" s="9" t="str">
        <f aca="true">IF(C284="","",IF(COUNTIF({"FECHADO";"Perdido";"Descartado"},L284)&gt;0,"-",IF(M284="","INICIAR",IF(T284="Sim","RESPONDEU",IF(Q284="","ESGOTADO",IF(Q284&lt;TODAY(),"ATRASADO",IF(Q284=TODAY(),"HOJE","No prazo")))))))</f>
        <v/>
      </c>
      <c r="S284" s="9" t="str">
        <f aca="true">IF(M284="","",TODAY()-M284)</f>
        <v/>
      </c>
      <c r="T284" s="7"/>
      <c r="U284" s="11"/>
      <c r="V284" s="11"/>
      <c r="W284" s="11"/>
      <c r="X284" s="10"/>
      <c r="Y284" s="5"/>
    </row>
    <row r="285" customFormat="false" ht="15" hidden="false" customHeight="false" outlineLevel="0" collapsed="false">
      <c r="A285" s="3"/>
      <c r="B285" s="4"/>
      <c r="C285" s="5"/>
      <c r="D285" s="5"/>
      <c r="E285" s="5"/>
      <c r="F285" s="5"/>
      <c r="G285" s="5"/>
      <c r="H285" s="5"/>
      <c r="I285" s="3" t="str">
        <f aca="false">IF(H285="","",HYPERLINK("https://wa.me/55"&amp;SUBSTITUTE(SUBSTITUTE(SUBSTITUTE(SUBSTITUTE(H285,"(",""),")",""),"-","")," ",""),"Abrir"))</f>
        <v/>
      </c>
      <c r="J285" s="3"/>
      <c r="K285" s="5"/>
      <c r="L285" s="5"/>
      <c r="M285" s="6"/>
      <c r="N285" s="4" t="str">
        <f aca="false">IF(M285="","",WORKDAY(M285,3))</f>
        <v/>
      </c>
      <c r="O285" s="4" t="str">
        <f aca="false">IF(M285="","",WORKDAY(M285,7))</f>
        <v/>
      </c>
      <c r="P285" s="4" t="str">
        <f aca="false">IF(M285="","",WORKDAY(M285,30))</f>
        <v/>
      </c>
      <c r="Q285" s="4" t="str">
        <f aca="true">IF(M285="","",IF(OR(T285="Sim",COUNTIF({"FECHADO";"Perdido";"Descartado"},L285)&gt;0),"",IF(TODAY()&lt;N285,N285,IF(TODAY()&lt;O285,O285,IF(TODAY()&lt;=P285,P285,"")))))</f>
        <v/>
      </c>
      <c r="R285" s="3" t="str">
        <f aca="true">IF(C285="","",IF(COUNTIF({"FECHADO";"Perdido";"Descartado"},L285)&gt;0,"-",IF(M285="","INICIAR",IF(T285="Sim","RESPONDEU",IF(Q285="","ESGOTADO",IF(Q285&lt;TODAY(),"ATRASADO",IF(Q285=TODAY(),"HOJE","No prazo")))))))</f>
        <v/>
      </c>
      <c r="S285" s="3" t="str">
        <f aca="true">IF(M285="","",TODAY()-M285)</f>
        <v/>
      </c>
      <c r="T285" s="7"/>
      <c r="U285" s="8"/>
      <c r="V285" s="8"/>
      <c r="W285" s="8"/>
      <c r="X285" s="4"/>
      <c r="Y285" s="5"/>
    </row>
    <row r="286" customFormat="false" ht="15" hidden="false" customHeight="false" outlineLevel="0" collapsed="false">
      <c r="A286" s="9"/>
      <c r="B286" s="10"/>
      <c r="C286" s="5"/>
      <c r="D286" s="5"/>
      <c r="E286" s="5"/>
      <c r="F286" s="5"/>
      <c r="G286" s="5"/>
      <c r="H286" s="5"/>
      <c r="I286" s="9" t="str">
        <f aca="false">IF(H286="","",HYPERLINK("https://wa.me/55"&amp;SUBSTITUTE(SUBSTITUTE(SUBSTITUTE(SUBSTITUTE(H286,"(",""),")",""),"-","")," ",""),"Abrir"))</f>
        <v/>
      </c>
      <c r="J286" s="9"/>
      <c r="K286" s="5"/>
      <c r="L286" s="5"/>
      <c r="M286" s="6"/>
      <c r="N286" s="10" t="str">
        <f aca="false">IF(M286="","",WORKDAY(M286,3))</f>
        <v/>
      </c>
      <c r="O286" s="10" t="str">
        <f aca="false">IF(M286="","",WORKDAY(M286,7))</f>
        <v/>
      </c>
      <c r="P286" s="10" t="str">
        <f aca="false">IF(M286="","",WORKDAY(M286,30))</f>
        <v/>
      </c>
      <c r="Q286" s="10" t="str">
        <f aca="true">IF(M286="","",IF(OR(T286="Sim",COUNTIF({"FECHADO";"Perdido";"Descartado"},L286)&gt;0),"",IF(TODAY()&lt;N286,N286,IF(TODAY()&lt;O286,O286,IF(TODAY()&lt;=P286,P286,"")))))</f>
        <v/>
      </c>
      <c r="R286" s="9" t="str">
        <f aca="true">IF(C286="","",IF(COUNTIF({"FECHADO";"Perdido";"Descartado"},L286)&gt;0,"-",IF(M286="","INICIAR",IF(T286="Sim","RESPONDEU",IF(Q286="","ESGOTADO",IF(Q286&lt;TODAY(),"ATRASADO",IF(Q286=TODAY(),"HOJE","No prazo")))))))</f>
        <v/>
      </c>
      <c r="S286" s="9" t="str">
        <f aca="true">IF(M286="","",TODAY()-M286)</f>
        <v/>
      </c>
      <c r="T286" s="7"/>
      <c r="U286" s="11"/>
      <c r="V286" s="11"/>
      <c r="W286" s="11"/>
      <c r="X286" s="10"/>
      <c r="Y286" s="5"/>
    </row>
    <row r="287" customFormat="false" ht="15" hidden="false" customHeight="false" outlineLevel="0" collapsed="false">
      <c r="A287" s="3"/>
      <c r="B287" s="4"/>
      <c r="C287" s="5"/>
      <c r="D287" s="5"/>
      <c r="E287" s="5"/>
      <c r="F287" s="5"/>
      <c r="G287" s="5"/>
      <c r="H287" s="5"/>
      <c r="I287" s="3" t="str">
        <f aca="false">IF(H287="","",HYPERLINK("https://wa.me/55"&amp;SUBSTITUTE(SUBSTITUTE(SUBSTITUTE(SUBSTITUTE(H287,"(",""),")",""),"-","")," ",""),"Abrir"))</f>
        <v/>
      </c>
      <c r="J287" s="3"/>
      <c r="K287" s="5"/>
      <c r="L287" s="5"/>
      <c r="M287" s="6"/>
      <c r="N287" s="4" t="str">
        <f aca="false">IF(M287="","",WORKDAY(M287,3))</f>
        <v/>
      </c>
      <c r="O287" s="4" t="str">
        <f aca="false">IF(M287="","",WORKDAY(M287,7))</f>
        <v/>
      </c>
      <c r="P287" s="4" t="str">
        <f aca="false">IF(M287="","",WORKDAY(M287,30))</f>
        <v/>
      </c>
      <c r="Q287" s="4" t="str">
        <f aca="true">IF(M287="","",IF(OR(T287="Sim",COUNTIF({"FECHADO";"Perdido";"Descartado"},L287)&gt;0),"",IF(TODAY()&lt;N287,N287,IF(TODAY()&lt;O287,O287,IF(TODAY()&lt;=P287,P287,"")))))</f>
        <v/>
      </c>
      <c r="R287" s="3" t="str">
        <f aca="true">IF(C287="","",IF(COUNTIF({"FECHADO";"Perdido";"Descartado"},L287)&gt;0,"-",IF(M287="","INICIAR",IF(T287="Sim","RESPONDEU",IF(Q287="","ESGOTADO",IF(Q287&lt;TODAY(),"ATRASADO",IF(Q287=TODAY(),"HOJE","No prazo")))))))</f>
        <v/>
      </c>
      <c r="S287" s="3" t="str">
        <f aca="true">IF(M287="","",TODAY()-M287)</f>
        <v/>
      </c>
      <c r="T287" s="7"/>
      <c r="U287" s="8"/>
      <c r="V287" s="8"/>
      <c r="W287" s="8"/>
      <c r="X287" s="4"/>
      <c r="Y287" s="5"/>
    </row>
    <row r="288" customFormat="false" ht="15" hidden="false" customHeight="false" outlineLevel="0" collapsed="false">
      <c r="A288" s="9"/>
      <c r="B288" s="10"/>
      <c r="C288" s="5"/>
      <c r="D288" s="5"/>
      <c r="E288" s="5"/>
      <c r="F288" s="5"/>
      <c r="G288" s="5"/>
      <c r="H288" s="5"/>
      <c r="I288" s="9" t="str">
        <f aca="false">IF(H288="","",HYPERLINK("https://wa.me/55"&amp;SUBSTITUTE(SUBSTITUTE(SUBSTITUTE(SUBSTITUTE(H288,"(",""),")",""),"-","")," ",""),"Abrir"))</f>
        <v/>
      </c>
      <c r="J288" s="9"/>
      <c r="K288" s="5"/>
      <c r="L288" s="5"/>
      <c r="M288" s="6"/>
      <c r="N288" s="10" t="str">
        <f aca="false">IF(M288="","",WORKDAY(M288,3))</f>
        <v/>
      </c>
      <c r="O288" s="10" t="str">
        <f aca="false">IF(M288="","",WORKDAY(M288,7))</f>
        <v/>
      </c>
      <c r="P288" s="10" t="str">
        <f aca="false">IF(M288="","",WORKDAY(M288,30))</f>
        <v/>
      </c>
      <c r="Q288" s="10" t="str">
        <f aca="true">IF(M288="","",IF(OR(T288="Sim",COUNTIF({"FECHADO";"Perdido";"Descartado"},L288)&gt;0),"",IF(TODAY()&lt;N288,N288,IF(TODAY()&lt;O288,O288,IF(TODAY()&lt;=P288,P288,"")))))</f>
        <v/>
      </c>
      <c r="R288" s="9" t="str">
        <f aca="true">IF(C288="","",IF(COUNTIF({"FECHADO";"Perdido";"Descartado"},L288)&gt;0,"-",IF(M288="","INICIAR",IF(T288="Sim","RESPONDEU",IF(Q288="","ESGOTADO",IF(Q288&lt;TODAY(),"ATRASADO",IF(Q288=TODAY(),"HOJE","No prazo")))))))</f>
        <v/>
      </c>
      <c r="S288" s="9" t="str">
        <f aca="true">IF(M288="","",TODAY()-M288)</f>
        <v/>
      </c>
      <c r="T288" s="7"/>
      <c r="U288" s="11"/>
      <c r="V288" s="11"/>
      <c r="W288" s="11"/>
      <c r="X288" s="10"/>
      <c r="Y288" s="5"/>
    </row>
    <row r="289" customFormat="false" ht="15" hidden="false" customHeight="false" outlineLevel="0" collapsed="false">
      <c r="A289" s="3"/>
      <c r="B289" s="4"/>
      <c r="C289" s="5"/>
      <c r="D289" s="5"/>
      <c r="E289" s="5"/>
      <c r="F289" s="5"/>
      <c r="G289" s="5"/>
      <c r="H289" s="5"/>
      <c r="I289" s="3" t="str">
        <f aca="false">IF(H289="","",HYPERLINK("https://wa.me/55"&amp;SUBSTITUTE(SUBSTITUTE(SUBSTITUTE(SUBSTITUTE(H289,"(",""),")",""),"-","")," ",""),"Abrir"))</f>
        <v/>
      </c>
      <c r="J289" s="3"/>
      <c r="K289" s="5"/>
      <c r="L289" s="5"/>
      <c r="M289" s="6"/>
      <c r="N289" s="4" t="str">
        <f aca="false">IF(M289="","",WORKDAY(M289,3))</f>
        <v/>
      </c>
      <c r="O289" s="4" t="str">
        <f aca="false">IF(M289="","",WORKDAY(M289,7))</f>
        <v/>
      </c>
      <c r="P289" s="4" t="str">
        <f aca="false">IF(M289="","",WORKDAY(M289,30))</f>
        <v/>
      </c>
      <c r="Q289" s="4" t="str">
        <f aca="true">IF(M289="","",IF(OR(T289="Sim",COUNTIF({"FECHADO";"Perdido";"Descartado"},L289)&gt;0),"",IF(TODAY()&lt;N289,N289,IF(TODAY()&lt;O289,O289,IF(TODAY()&lt;=P289,P289,"")))))</f>
        <v/>
      </c>
      <c r="R289" s="3" t="str">
        <f aca="true">IF(C289="","",IF(COUNTIF({"FECHADO";"Perdido";"Descartado"},L289)&gt;0,"-",IF(M289="","INICIAR",IF(T289="Sim","RESPONDEU",IF(Q289="","ESGOTADO",IF(Q289&lt;TODAY(),"ATRASADO",IF(Q289=TODAY(),"HOJE","No prazo")))))))</f>
        <v/>
      </c>
      <c r="S289" s="3" t="str">
        <f aca="true">IF(M289="","",TODAY()-M289)</f>
        <v/>
      </c>
      <c r="T289" s="7"/>
      <c r="U289" s="8"/>
      <c r="V289" s="8"/>
      <c r="W289" s="8"/>
      <c r="X289" s="4"/>
      <c r="Y289" s="5"/>
    </row>
    <row r="290" customFormat="false" ht="15" hidden="false" customHeight="false" outlineLevel="0" collapsed="false">
      <c r="A290" s="9"/>
      <c r="B290" s="10"/>
      <c r="C290" s="5"/>
      <c r="D290" s="5"/>
      <c r="E290" s="5"/>
      <c r="F290" s="5"/>
      <c r="G290" s="5"/>
      <c r="H290" s="5"/>
      <c r="I290" s="9" t="str">
        <f aca="false">IF(H290="","",HYPERLINK("https://wa.me/55"&amp;SUBSTITUTE(SUBSTITUTE(SUBSTITUTE(SUBSTITUTE(H290,"(",""),")",""),"-","")," ",""),"Abrir"))</f>
        <v/>
      </c>
      <c r="J290" s="9"/>
      <c r="K290" s="5"/>
      <c r="L290" s="5"/>
      <c r="M290" s="6"/>
      <c r="N290" s="10" t="str">
        <f aca="false">IF(M290="","",WORKDAY(M290,3))</f>
        <v/>
      </c>
      <c r="O290" s="10" t="str">
        <f aca="false">IF(M290="","",WORKDAY(M290,7))</f>
        <v/>
      </c>
      <c r="P290" s="10" t="str">
        <f aca="false">IF(M290="","",WORKDAY(M290,30))</f>
        <v/>
      </c>
      <c r="Q290" s="10" t="str">
        <f aca="true">IF(M290="","",IF(OR(T290="Sim",COUNTIF({"FECHADO";"Perdido";"Descartado"},L290)&gt;0),"",IF(TODAY()&lt;N290,N290,IF(TODAY()&lt;O290,O290,IF(TODAY()&lt;=P290,P290,"")))))</f>
        <v/>
      </c>
      <c r="R290" s="9" t="str">
        <f aca="true">IF(C290="","",IF(COUNTIF({"FECHADO";"Perdido";"Descartado"},L290)&gt;0,"-",IF(M290="","INICIAR",IF(T290="Sim","RESPONDEU",IF(Q290="","ESGOTADO",IF(Q290&lt;TODAY(),"ATRASADO",IF(Q290=TODAY(),"HOJE","No prazo")))))))</f>
        <v/>
      </c>
      <c r="S290" s="9" t="str">
        <f aca="true">IF(M290="","",TODAY()-M290)</f>
        <v/>
      </c>
      <c r="T290" s="7"/>
      <c r="U290" s="11"/>
      <c r="V290" s="11"/>
      <c r="W290" s="11"/>
      <c r="X290" s="10"/>
      <c r="Y290" s="5"/>
    </row>
    <row r="291" customFormat="false" ht="15" hidden="false" customHeight="false" outlineLevel="0" collapsed="false">
      <c r="A291" s="3"/>
      <c r="B291" s="4"/>
      <c r="C291" s="5"/>
      <c r="D291" s="5"/>
      <c r="E291" s="5"/>
      <c r="F291" s="5"/>
      <c r="G291" s="5"/>
      <c r="H291" s="5"/>
      <c r="I291" s="3" t="str">
        <f aca="false">IF(H291="","",HYPERLINK("https://wa.me/55"&amp;SUBSTITUTE(SUBSTITUTE(SUBSTITUTE(SUBSTITUTE(H291,"(",""),")",""),"-","")," ",""),"Abrir"))</f>
        <v/>
      </c>
      <c r="J291" s="3"/>
      <c r="K291" s="5"/>
      <c r="L291" s="5"/>
      <c r="M291" s="6"/>
      <c r="N291" s="4" t="str">
        <f aca="false">IF(M291="","",WORKDAY(M291,3))</f>
        <v/>
      </c>
      <c r="O291" s="4" t="str">
        <f aca="false">IF(M291="","",WORKDAY(M291,7))</f>
        <v/>
      </c>
      <c r="P291" s="4" t="str">
        <f aca="false">IF(M291="","",WORKDAY(M291,30))</f>
        <v/>
      </c>
      <c r="Q291" s="4" t="str">
        <f aca="true">IF(M291="","",IF(OR(T291="Sim",COUNTIF({"FECHADO";"Perdido";"Descartado"},L291)&gt;0),"",IF(TODAY()&lt;N291,N291,IF(TODAY()&lt;O291,O291,IF(TODAY()&lt;=P291,P291,"")))))</f>
        <v/>
      </c>
      <c r="R291" s="3" t="str">
        <f aca="true">IF(C291="","",IF(COUNTIF({"FECHADO";"Perdido";"Descartado"},L291)&gt;0,"-",IF(M291="","INICIAR",IF(T291="Sim","RESPONDEU",IF(Q291="","ESGOTADO",IF(Q291&lt;TODAY(),"ATRASADO",IF(Q291=TODAY(),"HOJE","No prazo")))))))</f>
        <v/>
      </c>
      <c r="S291" s="3" t="str">
        <f aca="true">IF(M291="","",TODAY()-M291)</f>
        <v/>
      </c>
      <c r="T291" s="7"/>
      <c r="U291" s="8"/>
      <c r="V291" s="8"/>
      <c r="W291" s="8"/>
      <c r="X291" s="4"/>
      <c r="Y291" s="5"/>
    </row>
    <row r="292" customFormat="false" ht="15" hidden="false" customHeight="false" outlineLevel="0" collapsed="false">
      <c r="A292" s="9"/>
      <c r="B292" s="10"/>
      <c r="C292" s="5"/>
      <c r="D292" s="5"/>
      <c r="E292" s="5"/>
      <c r="F292" s="5"/>
      <c r="G292" s="5"/>
      <c r="H292" s="5"/>
      <c r="I292" s="9" t="str">
        <f aca="false">IF(H292="","",HYPERLINK("https://wa.me/55"&amp;SUBSTITUTE(SUBSTITUTE(SUBSTITUTE(SUBSTITUTE(H292,"(",""),")",""),"-","")," ",""),"Abrir"))</f>
        <v/>
      </c>
      <c r="J292" s="9"/>
      <c r="K292" s="5"/>
      <c r="L292" s="5"/>
      <c r="M292" s="6"/>
      <c r="N292" s="10" t="str">
        <f aca="false">IF(M292="","",WORKDAY(M292,3))</f>
        <v/>
      </c>
      <c r="O292" s="10" t="str">
        <f aca="false">IF(M292="","",WORKDAY(M292,7))</f>
        <v/>
      </c>
      <c r="P292" s="10" t="str">
        <f aca="false">IF(M292="","",WORKDAY(M292,30))</f>
        <v/>
      </c>
      <c r="Q292" s="10" t="str">
        <f aca="true">IF(M292="","",IF(OR(T292="Sim",COUNTIF({"FECHADO";"Perdido";"Descartado"},L292)&gt;0),"",IF(TODAY()&lt;N292,N292,IF(TODAY()&lt;O292,O292,IF(TODAY()&lt;=P292,P292,"")))))</f>
        <v/>
      </c>
      <c r="R292" s="9" t="str">
        <f aca="true">IF(C292="","",IF(COUNTIF({"FECHADO";"Perdido";"Descartado"},L292)&gt;0,"-",IF(M292="","INICIAR",IF(T292="Sim","RESPONDEU",IF(Q292="","ESGOTADO",IF(Q292&lt;TODAY(),"ATRASADO",IF(Q292=TODAY(),"HOJE","No prazo")))))))</f>
        <v/>
      </c>
      <c r="S292" s="9" t="str">
        <f aca="true">IF(M292="","",TODAY()-M292)</f>
        <v/>
      </c>
      <c r="T292" s="7"/>
      <c r="U292" s="11"/>
      <c r="V292" s="11"/>
      <c r="W292" s="11"/>
      <c r="X292" s="10"/>
      <c r="Y292" s="5"/>
    </row>
    <row r="293" customFormat="false" ht="15" hidden="false" customHeight="false" outlineLevel="0" collapsed="false">
      <c r="A293" s="3"/>
      <c r="B293" s="4"/>
      <c r="C293" s="5"/>
      <c r="D293" s="5"/>
      <c r="E293" s="5"/>
      <c r="F293" s="5"/>
      <c r="G293" s="5"/>
      <c r="H293" s="5"/>
      <c r="I293" s="3" t="str">
        <f aca="false">IF(H293="","",HYPERLINK("https://wa.me/55"&amp;SUBSTITUTE(SUBSTITUTE(SUBSTITUTE(SUBSTITUTE(H293,"(",""),")",""),"-","")," ",""),"Abrir"))</f>
        <v/>
      </c>
      <c r="J293" s="3"/>
      <c r="K293" s="5"/>
      <c r="L293" s="5"/>
      <c r="M293" s="6"/>
      <c r="N293" s="4" t="str">
        <f aca="false">IF(M293="","",WORKDAY(M293,3))</f>
        <v/>
      </c>
      <c r="O293" s="4" t="str">
        <f aca="false">IF(M293="","",WORKDAY(M293,7))</f>
        <v/>
      </c>
      <c r="P293" s="4" t="str">
        <f aca="false">IF(M293="","",WORKDAY(M293,30))</f>
        <v/>
      </c>
      <c r="Q293" s="4" t="str">
        <f aca="true">IF(M293="","",IF(OR(T293="Sim",COUNTIF({"FECHADO";"Perdido";"Descartado"},L293)&gt;0),"",IF(TODAY()&lt;N293,N293,IF(TODAY()&lt;O293,O293,IF(TODAY()&lt;=P293,P293,"")))))</f>
        <v/>
      </c>
      <c r="R293" s="3" t="str">
        <f aca="true">IF(C293="","",IF(COUNTIF({"FECHADO";"Perdido";"Descartado"},L293)&gt;0,"-",IF(M293="","INICIAR",IF(T293="Sim","RESPONDEU",IF(Q293="","ESGOTADO",IF(Q293&lt;TODAY(),"ATRASADO",IF(Q293=TODAY(),"HOJE","No prazo")))))))</f>
        <v/>
      </c>
      <c r="S293" s="3" t="str">
        <f aca="true">IF(M293="","",TODAY()-M293)</f>
        <v/>
      </c>
      <c r="T293" s="7"/>
      <c r="U293" s="8"/>
      <c r="V293" s="8"/>
      <c r="W293" s="8"/>
      <c r="X293" s="4"/>
      <c r="Y293" s="5"/>
    </row>
    <row r="294" customFormat="false" ht="15" hidden="false" customHeight="false" outlineLevel="0" collapsed="false">
      <c r="A294" s="9"/>
      <c r="B294" s="10"/>
      <c r="C294" s="5"/>
      <c r="D294" s="5"/>
      <c r="E294" s="5"/>
      <c r="F294" s="5"/>
      <c r="G294" s="5"/>
      <c r="H294" s="5"/>
      <c r="I294" s="9" t="str">
        <f aca="false">IF(H294="","",HYPERLINK("https://wa.me/55"&amp;SUBSTITUTE(SUBSTITUTE(SUBSTITUTE(SUBSTITUTE(H294,"(",""),")",""),"-","")," ",""),"Abrir"))</f>
        <v/>
      </c>
      <c r="J294" s="9"/>
      <c r="K294" s="5"/>
      <c r="L294" s="5"/>
      <c r="M294" s="6"/>
      <c r="N294" s="10" t="str">
        <f aca="false">IF(M294="","",WORKDAY(M294,3))</f>
        <v/>
      </c>
      <c r="O294" s="10" t="str">
        <f aca="false">IF(M294="","",WORKDAY(M294,7))</f>
        <v/>
      </c>
      <c r="P294" s="10" t="str">
        <f aca="false">IF(M294="","",WORKDAY(M294,30))</f>
        <v/>
      </c>
      <c r="Q294" s="10" t="str">
        <f aca="true">IF(M294="","",IF(OR(T294="Sim",COUNTIF({"FECHADO";"Perdido";"Descartado"},L294)&gt;0),"",IF(TODAY()&lt;N294,N294,IF(TODAY()&lt;O294,O294,IF(TODAY()&lt;=P294,P294,"")))))</f>
        <v/>
      </c>
      <c r="R294" s="9" t="str">
        <f aca="true">IF(C294="","",IF(COUNTIF({"FECHADO";"Perdido";"Descartado"},L294)&gt;0,"-",IF(M294="","INICIAR",IF(T294="Sim","RESPONDEU",IF(Q294="","ESGOTADO",IF(Q294&lt;TODAY(),"ATRASADO",IF(Q294=TODAY(),"HOJE","No prazo")))))))</f>
        <v/>
      </c>
      <c r="S294" s="9" t="str">
        <f aca="true">IF(M294="","",TODAY()-M294)</f>
        <v/>
      </c>
      <c r="T294" s="7"/>
      <c r="U294" s="11"/>
      <c r="V294" s="11"/>
      <c r="W294" s="11"/>
      <c r="X294" s="10"/>
      <c r="Y294" s="5"/>
    </row>
    <row r="295" customFormat="false" ht="15" hidden="false" customHeight="false" outlineLevel="0" collapsed="false">
      <c r="A295" s="3"/>
      <c r="B295" s="4"/>
      <c r="C295" s="5"/>
      <c r="D295" s="5"/>
      <c r="E295" s="5"/>
      <c r="F295" s="5"/>
      <c r="G295" s="5"/>
      <c r="H295" s="5"/>
      <c r="I295" s="3" t="str">
        <f aca="false">IF(H295="","",HYPERLINK("https://wa.me/55"&amp;SUBSTITUTE(SUBSTITUTE(SUBSTITUTE(SUBSTITUTE(H295,"(",""),")",""),"-","")," ",""),"Abrir"))</f>
        <v/>
      </c>
      <c r="J295" s="3"/>
      <c r="K295" s="5"/>
      <c r="L295" s="5"/>
      <c r="M295" s="6"/>
      <c r="N295" s="4" t="str">
        <f aca="false">IF(M295="","",WORKDAY(M295,3))</f>
        <v/>
      </c>
      <c r="O295" s="4" t="str">
        <f aca="false">IF(M295="","",WORKDAY(M295,7))</f>
        <v/>
      </c>
      <c r="P295" s="4" t="str">
        <f aca="false">IF(M295="","",WORKDAY(M295,30))</f>
        <v/>
      </c>
      <c r="Q295" s="4" t="str">
        <f aca="true">IF(M295="","",IF(OR(T295="Sim",COUNTIF({"FECHADO";"Perdido";"Descartado"},L295)&gt;0),"",IF(TODAY()&lt;N295,N295,IF(TODAY()&lt;O295,O295,IF(TODAY()&lt;=P295,P295,"")))))</f>
        <v/>
      </c>
      <c r="R295" s="3" t="str">
        <f aca="true">IF(C295="","",IF(COUNTIF({"FECHADO";"Perdido";"Descartado"},L295)&gt;0,"-",IF(M295="","INICIAR",IF(T295="Sim","RESPONDEU",IF(Q295="","ESGOTADO",IF(Q295&lt;TODAY(),"ATRASADO",IF(Q295=TODAY(),"HOJE","No prazo")))))))</f>
        <v/>
      </c>
      <c r="S295" s="3" t="str">
        <f aca="true">IF(M295="","",TODAY()-M295)</f>
        <v/>
      </c>
      <c r="T295" s="7"/>
      <c r="U295" s="8"/>
      <c r="V295" s="8"/>
      <c r="W295" s="8"/>
      <c r="X295" s="4"/>
      <c r="Y295" s="5"/>
    </row>
    <row r="296" customFormat="false" ht="15" hidden="false" customHeight="false" outlineLevel="0" collapsed="false">
      <c r="A296" s="9"/>
      <c r="B296" s="10"/>
      <c r="C296" s="5"/>
      <c r="D296" s="5"/>
      <c r="E296" s="5"/>
      <c r="F296" s="5"/>
      <c r="G296" s="5"/>
      <c r="H296" s="5"/>
      <c r="I296" s="9" t="str">
        <f aca="false">IF(H296="","",HYPERLINK("https://wa.me/55"&amp;SUBSTITUTE(SUBSTITUTE(SUBSTITUTE(SUBSTITUTE(H296,"(",""),")",""),"-","")," ",""),"Abrir"))</f>
        <v/>
      </c>
      <c r="J296" s="9"/>
      <c r="K296" s="5"/>
      <c r="L296" s="5"/>
      <c r="M296" s="6"/>
      <c r="N296" s="10" t="str">
        <f aca="false">IF(M296="","",WORKDAY(M296,3))</f>
        <v/>
      </c>
      <c r="O296" s="10" t="str">
        <f aca="false">IF(M296="","",WORKDAY(M296,7))</f>
        <v/>
      </c>
      <c r="P296" s="10" t="str">
        <f aca="false">IF(M296="","",WORKDAY(M296,30))</f>
        <v/>
      </c>
      <c r="Q296" s="10" t="str">
        <f aca="true">IF(M296="","",IF(OR(T296="Sim",COUNTIF({"FECHADO";"Perdido";"Descartado"},L296)&gt;0),"",IF(TODAY()&lt;N296,N296,IF(TODAY()&lt;O296,O296,IF(TODAY()&lt;=P296,P296,"")))))</f>
        <v/>
      </c>
      <c r="R296" s="9" t="str">
        <f aca="true">IF(C296="","",IF(COUNTIF({"FECHADO";"Perdido";"Descartado"},L296)&gt;0,"-",IF(M296="","INICIAR",IF(T296="Sim","RESPONDEU",IF(Q296="","ESGOTADO",IF(Q296&lt;TODAY(),"ATRASADO",IF(Q296=TODAY(),"HOJE","No prazo")))))))</f>
        <v/>
      </c>
      <c r="S296" s="9" t="str">
        <f aca="true">IF(M296="","",TODAY()-M296)</f>
        <v/>
      </c>
      <c r="T296" s="7"/>
      <c r="U296" s="11"/>
      <c r="V296" s="11"/>
      <c r="W296" s="11"/>
      <c r="X296" s="10"/>
      <c r="Y296" s="5"/>
    </row>
    <row r="297" customFormat="false" ht="15" hidden="false" customHeight="false" outlineLevel="0" collapsed="false">
      <c r="A297" s="3"/>
      <c r="B297" s="4"/>
      <c r="C297" s="5"/>
      <c r="D297" s="5"/>
      <c r="E297" s="5"/>
      <c r="F297" s="5"/>
      <c r="G297" s="5"/>
      <c r="H297" s="5"/>
      <c r="I297" s="3" t="str">
        <f aca="false">IF(H297="","",HYPERLINK("https://wa.me/55"&amp;SUBSTITUTE(SUBSTITUTE(SUBSTITUTE(SUBSTITUTE(H297,"(",""),")",""),"-","")," ",""),"Abrir"))</f>
        <v/>
      </c>
      <c r="J297" s="3"/>
      <c r="K297" s="5"/>
      <c r="L297" s="5"/>
      <c r="M297" s="6"/>
      <c r="N297" s="4" t="str">
        <f aca="false">IF(M297="","",WORKDAY(M297,3))</f>
        <v/>
      </c>
      <c r="O297" s="4" t="str">
        <f aca="false">IF(M297="","",WORKDAY(M297,7))</f>
        <v/>
      </c>
      <c r="P297" s="4" t="str">
        <f aca="false">IF(M297="","",WORKDAY(M297,30))</f>
        <v/>
      </c>
      <c r="Q297" s="4" t="str">
        <f aca="true">IF(M297="","",IF(OR(T297="Sim",COUNTIF({"FECHADO";"Perdido";"Descartado"},L297)&gt;0),"",IF(TODAY()&lt;N297,N297,IF(TODAY()&lt;O297,O297,IF(TODAY()&lt;=P297,P297,"")))))</f>
        <v/>
      </c>
      <c r="R297" s="3" t="str">
        <f aca="true">IF(C297="","",IF(COUNTIF({"FECHADO";"Perdido";"Descartado"},L297)&gt;0,"-",IF(M297="","INICIAR",IF(T297="Sim","RESPONDEU",IF(Q297="","ESGOTADO",IF(Q297&lt;TODAY(),"ATRASADO",IF(Q297=TODAY(),"HOJE","No prazo")))))))</f>
        <v/>
      </c>
      <c r="S297" s="3" t="str">
        <f aca="true">IF(M297="","",TODAY()-M297)</f>
        <v/>
      </c>
      <c r="T297" s="7"/>
      <c r="U297" s="8"/>
      <c r="V297" s="8"/>
      <c r="W297" s="8"/>
      <c r="X297" s="4"/>
      <c r="Y297" s="5"/>
    </row>
    <row r="298" customFormat="false" ht="15" hidden="false" customHeight="false" outlineLevel="0" collapsed="false">
      <c r="A298" s="9"/>
      <c r="B298" s="10"/>
      <c r="C298" s="5"/>
      <c r="D298" s="5"/>
      <c r="E298" s="5"/>
      <c r="F298" s="5"/>
      <c r="G298" s="5"/>
      <c r="H298" s="5"/>
      <c r="I298" s="9" t="str">
        <f aca="false">IF(H298="","",HYPERLINK("https://wa.me/55"&amp;SUBSTITUTE(SUBSTITUTE(SUBSTITUTE(SUBSTITUTE(H298,"(",""),")",""),"-","")," ",""),"Abrir"))</f>
        <v/>
      </c>
      <c r="J298" s="9"/>
      <c r="K298" s="5"/>
      <c r="L298" s="5"/>
      <c r="M298" s="6"/>
      <c r="N298" s="10" t="str">
        <f aca="false">IF(M298="","",WORKDAY(M298,3))</f>
        <v/>
      </c>
      <c r="O298" s="10" t="str">
        <f aca="false">IF(M298="","",WORKDAY(M298,7))</f>
        <v/>
      </c>
      <c r="P298" s="10" t="str">
        <f aca="false">IF(M298="","",WORKDAY(M298,30))</f>
        <v/>
      </c>
      <c r="Q298" s="10" t="str">
        <f aca="true">IF(M298="","",IF(OR(T298="Sim",COUNTIF({"FECHADO";"Perdido";"Descartado"},L298)&gt;0),"",IF(TODAY()&lt;N298,N298,IF(TODAY()&lt;O298,O298,IF(TODAY()&lt;=P298,P298,"")))))</f>
        <v/>
      </c>
      <c r="R298" s="9" t="str">
        <f aca="true">IF(C298="","",IF(COUNTIF({"FECHADO";"Perdido";"Descartado"},L298)&gt;0,"-",IF(M298="","INICIAR",IF(T298="Sim","RESPONDEU",IF(Q298="","ESGOTADO",IF(Q298&lt;TODAY(),"ATRASADO",IF(Q298=TODAY(),"HOJE","No prazo")))))))</f>
        <v/>
      </c>
      <c r="S298" s="9" t="str">
        <f aca="true">IF(M298="","",TODAY()-M298)</f>
        <v/>
      </c>
      <c r="T298" s="7"/>
      <c r="U298" s="11"/>
      <c r="V298" s="11"/>
      <c r="W298" s="11"/>
      <c r="X298" s="10"/>
      <c r="Y298" s="5"/>
    </row>
    <row r="299" customFormat="false" ht="15" hidden="false" customHeight="false" outlineLevel="0" collapsed="false">
      <c r="A299" s="3"/>
      <c r="B299" s="4"/>
      <c r="C299" s="5"/>
      <c r="D299" s="5"/>
      <c r="E299" s="5"/>
      <c r="F299" s="5"/>
      <c r="G299" s="5"/>
      <c r="H299" s="5"/>
      <c r="I299" s="3" t="str">
        <f aca="false">IF(H299="","",HYPERLINK("https://wa.me/55"&amp;SUBSTITUTE(SUBSTITUTE(SUBSTITUTE(SUBSTITUTE(H299,"(",""),")",""),"-","")," ",""),"Abrir"))</f>
        <v/>
      </c>
      <c r="J299" s="3"/>
      <c r="K299" s="5"/>
      <c r="L299" s="5"/>
      <c r="M299" s="6"/>
      <c r="N299" s="4" t="str">
        <f aca="false">IF(M299="","",WORKDAY(M299,3))</f>
        <v/>
      </c>
      <c r="O299" s="4" t="str">
        <f aca="false">IF(M299="","",WORKDAY(M299,7))</f>
        <v/>
      </c>
      <c r="P299" s="4" t="str">
        <f aca="false">IF(M299="","",WORKDAY(M299,30))</f>
        <v/>
      </c>
      <c r="Q299" s="4" t="str">
        <f aca="true">IF(M299="","",IF(OR(T299="Sim",COUNTIF({"FECHADO";"Perdido";"Descartado"},L299)&gt;0),"",IF(TODAY()&lt;N299,N299,IF(TODAY()&lt;O299,O299,IF(TODAY()&lt;=P299,P299,"")))))</f>
        <v/>
      </c>
      <c r="R299" s="3" t="str">
        <f aca="true">IF(C299="","",IF(COUNTIF({"FECHADO";"Perdido";"Descartado"},L299)&gt;0,"-",IF(M299="","INICIAR",IF(T299="Sim","RESPONDEU",IF(Q299="","ESGOTADO",IF(Q299&lt;TODAY(),"ATRASADO",IF(Q299=TODAY(),"HOJE","No prazo")))))))</f>
        <v/>
      </c>
      <c r="S299" s="3" t="str">
        <f aca="true">IF(M299="","",TODAY()-M299)</f>
        <v/>
      </c>
      <c r="T299" s="7"/>
      <c r="U299" s="8"/>
      <c r="V299" s="8"/>
      <c r="W299" s="8"/>
      <c r="X299" s="4"/>
      <c r="Y299" s="5"/>
    </row>
    <row r="300" customFormat="false" ht="15" hidden="false" customHeight="false" outlineLevel="0" collapsed="false">
      <c r="A300" s="9"/>
      <c r="B300" s="10"/>
      <c r="C300" s="5"/>
      <c r="D300" s="5"/>
      <c r="E300" s="5"/>
      <c r="F300" s="5"/>
      <c r="G300" s="5"/>
      <c r="H300" s="5"/>
      <c r="I300" s="9" t="str">
        <f aca="false">IF(H300="","",HYPERLINK("https://wa.me/55"&amp;SUBSTITUTE(SUBSTITUTE(SUBSTITUTE(SUBSTITUTE(H300,"(",""),")",""),"-","")," ",""),"Abrir"))</f>
        <v/>
      </c>
      <c r="J300" s="9"/>
      <c r="K300" s="5"/>
      <c r="L300" s="5"/>
      <c r="M300" s="6"/>
      <c r="N300" s="10" t="str">
        <f aca="false">IF(M300="","",WORKDAY(M300,3))</f>
        <v/>
      </c>
      <c r="O300" s="10" t="str">
        <f aca="false">IF(M300="","",WORKDAY(M300,7))</f>
        <v/>
      </c>
      <c r="P300" s="10" t="str">
        <f aca="false">IF(M300="","",WORKDAY(M300,30))</f>
        <v/>
      </c>
      <c r="Q300" s="10" t="str">
        <f aca="true">IF(M300="","",IF(OR(T300="Sim",COUNTIF({"FECHADO";"Perdido";"Descartado"},L300)&gt;0),"",IF(TODAY()&lt;N300,N300,IF(TODAY()&lt;O300,O300,IF(TODAY()&lt;=P300,P300,"")))))</f>
        <v/>
      </c>
      <c r="R300" s="9" t="str">
        <f aca="true">IF(C300="","",IF(COUNTIF({"FECHADO";"Perdido";"Descartado"},L300)&gt;0,"-",IF(M300="","INICIAR",IF(T300="Sim","RESPONDEU",IF(Q300="","ESGOTADO",IF(Q300&lt;TODAY(),"ATRASADO",IF(Q300=TODAY(),"HOJE","No prazo")))))))</f>
        <v/>
      </c>
      <c r="S300" s="9" t="str">
        <f aca="true">IF(M300="","",TODAY()-M300)</f>
        <v/>
      </c>
      <c r="T300" s="7"/>
      <c r="U300" s="11"/>
      <c r="V300" s="11"/>
      <c r="W300" s="11"/>
      <c r="X300" s="10"/>
      <c r="Y300" s="5"/>
    </row>
    <row r="301" customFormat="false" ht="15" hidden="false" customHeight="false" outlineLevel="0" collapsed="false">
      <c r="A301" s="3"/>
      <c r="B301" s="4"/>
      <c r="C301" s="5"/>
      <c r="D301" s="5"/>
      <c r="E301" s="5"/>
      <c r="F301" s="5"/>
      <c r="G301" s="5"/>
      <c r="H301" s="5"/>
      <c r="I301" s="3" t="str">
        <f aca="false">IF(H301="","",HYPERLINK("https://wa.me/55"&amp;SUBSTITUTE(SUBSTITUTE(SUBSTITUTE(SUBSTITUTE(H301,"(",""),")",""),"-","")," ",""),"Abrir"))</f>
        <v/>
      </c>
      <c r="J301" s="3"/>
      <c r="K301" s="5"/>
      <c r="L301" s="5"/>
      <c r="M301" s="6"/>
      <c r="N301" s="4" t="str">
        <f aca="false">IF(M301="","",WORKDAY(M301,3))</f>
        <v/>
      </c>
      <c r="O301" s="4" t="str">
        <f aca="false">IF(M301="","",WORKDAY(M301,7))</f>
        <v/>
      </c>
      <c r="P301" s="4" t="str">
        <f aca="false">IF(M301="","",WORKDAY(M301,30))</f>
        <v/>
      </c>
      <c r="Q301" s="4" t="str">
        <f aca="true">IF(M301="","",IF(OR(T301="Sim",COUNTIF({"FECHADO";"Perdido";"Descartado"},L301)&gt;0),"",IF(TODAY()&lt;N301,N301,IF(TODAY()&lt;O301,O301,IF(TODAY()&lt;=P301,P301,"")))))</f>
        <v/>
      </c>
      <c r="R301" s="3" t="str">
        <f aca="true">IF(C301="","",IF(COUNTIF({"FECHADO";"Perdido";"Descartado"},L301)&gt;0,"-",IF(M301="","INICIAR",IF(T301="Sim","RESPONDEU",IF(Q301="","ESGOTADO",IF(Q301&lt;TODAY(),"ATRASADO",IF(Q301=TODAY(),"HOJE","No prazo")))))))</f>
        <v/>
      </c>
      <c r="S301" s="3" t="str">
        <f aca="true">IF(M301="","",TODAY()-M301)</f>
        <v/>
      </c>
      <c r="T301" s="7"/>
      <c r="U301" s="8"/>
      <c r="V301" s="8"/>
      <c r="W301" s="8"/>
      <c r="X301" s="4"/>
      <c r="Y301" s="5"/>
    </row>
    <row r="302" customFormat="false" ht="15" hidden="false" customHeight="false" outlineLevel="0" collapsed="false">
      <c r="A302" s="9"/>
      <c r="B302" s="10"/>
      <c r="C302" s="5"/>
      <c r="D302" s="5"/>
      <c r="E302" s="5"/>
      <c r="F302" s="5"/>
      <c r="G302" s="5"/>
      <c r="H302" s="5"/>
      <c r="I302" s="9" t="str">
        <f aca="false">IF(H302="","",HYPERLINK("https://wa.me/55"&amp;SUBSTITUTE(SUBSTITUTE(SUBSTITUTE(SUBSTITUTE(H302,"(",""),")",""),"-","")," ",""),"Abrir"))</f>
        <v/>
      </c>
      <c r="J302" s="9"/>
      <c r="K302" s="5"/>
      <c r="L302" s="5"/>
      <c r="M302" s="6"/>
      <c r="N302" s="10" t="str">
        <f aca="false">IF(M302="","",WORKDAY(M302,3))</f>
        <v/>
      </c>
      <c r="O302" s="10" t="str">
        <f aca="false">IF(M302="","",WORKDAY(M302,7))</f>
        <v/>
      </c>
      <c r="P302" s="10" t="str">
        <f aca="false">IF(M302="","",WORKDAY(M302,30))</f>
        <v/>
      </c>
      <c r="Q302" s="10" t="str">
        <f aca="true">IF(M302="","",IF(OR(T302="Sim",COUNTIF({"FECHADO";"Perdido";"Descartado"},L302)&gt;0),"",IF(TODAY()&lt;N302,N302,IF(TODAY()&lt;O302,O302,IF(TODAY()&lt;=P302,P302,"")))))</f>
        <v/>
      </c>
      <c r="R302" s="9" t="str">
        <f aca="true">IF(C302="","",IF(COUNTIF({"FECHADO";"Perdido";"Descartado"},L302)&gt;0,"-",IF(M302="","INICIAR",IF(T302="Sim","RESPONDEU",IF(Q302="","ESGOTADO",IF(Q302&lt;TODAY(),"ATRASADO",IF(Q302=TODAY(),"HOJE","No prazo")))))))</f>
        <v/>
      </c>
      <c r="S302" s="9" t="str">
        <f aca="true">IF(M302="","",TODAY()-M302)</f>
        <v/>
      </c>
      <c r="T302" s="7"/>
      <c r="U302" s="11"/>
      <c r="V302" s="11"/>
      <c r="W302" s="11"/>
      <c r="X302" s="10"/>
      <c r="Y302" s="5"/>
    </row>
  </sheetData>
  <autoFilter ref="A2:Y302"/>
  <mergeCells count="1">
    <mergeCell ref="A1:Y1"/>
  </mergeCells>
  <conditionalFormatting sqref="R3:R302">
    <cfRule type="cellIs" priority="2" operator="equal" aboveAverage="0" equalAverage="0" bottom="0" percent="0" rank="0" text="" dxfId="5">
      <formula>"ATRASADO"</formula>
    </cfRule>
    <cfRule type="cellIs" priority="3" operator="equal" aboveAverage="0" equalAverage="0" bottom="0" percent="0" rank="0" text="" dxfId="6">
      <formula>"HOJE"</formula>
    </cfRule>
    <cfRule type="cellIs" priority="4" operator="equal" aboveAverage="0" equalAverage="0" bottom="0" percent="0" rank="0" text="" dxfId="7">
      <formula>"RESPONDEU"</formula>
    </cfRule>
    <cfRule type="cellIs" priority="5" operator="equal" aboveAverage="0" equalAverage="0" bottom="0" percent="0" rank="0" text="" dxfId="8">
      <formula>"INICIAR"</formula>
    </cfRule>
  </conditionalFormatting>
  <dataValidations count="4">
    <dataValidation allowBlank="true" errorStyle="stop" operator="between" showDropDown="false" showErrorMessage="false" showInputMessage="false" sqref="L3:L302" type="list">
      <formula1>"Nao iniciado,D0 enviado,D3 enviado,D7 enviado,Respondeu,Diagnostico aceito,Docs recebidos,Relatorio entregue,Proposta enviada,FECHADO,Perdido,Descartado"</formula1>
      <formula2>0</formula2>
    </dataValidation>
    <dataValidation allowBlank="true" errorStyle="stop" operator="between" showDropDown="false" showErrorMessage="false" showInputMessage="false" sqref="K3:K302" type="list">
      <formula1>"Monofasico,Fator R,Recem-aberta,Indicacao"</formula1>
      <formula2>0</formula2>
    </dataValidation>
    <dataValidation allowBlank="true" errorStyle="stop" operator="between" showDropDown="false" showErrorMessage="false" showInputMessage="false" sqref="T3:T302" type="list">
      <formula1>"Sim,Nao"</formula1>
      <formula2>0</formula2>
    </dataValidation>
    <dataValidation allowBlank="true" errorStyle="stop" operator="between" showDropDown="false" showErrorMessage="false" showInputMessage="false" sqref="J3:J302" type="list">
      <formula1>"ME,EPP"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4" hidden="false" customHeight="true" outlineLevel="0" collapsed="false">
      <c r="A1" s="12" t="s">
        <v>37</v>
      </c>
      <c r="B1" s="12"/>
      <c r="C1" s="12"/>
    </row>
    <row r="3" customFormat="false" ht="15" hidden="false" customHeight="false" outlineLevel="0" collapsed="false">
      <c r="A3" s="13" t="s">
        <v>38</v>
      </c>
      <c r="B3" s="14"/>
      <c r="C3" s="14"/>
    </row>
    <row r="4" customFormat="false" ht="15" hidden="false" customHeight="false" outlineLevel="0" collapsed="false">
      <c r="A4" s="15" t="s">
        <v>39</v>
      </c>
      <c r="B4" s="16" t="n">
        <f aca="false">COUNTIF(Pipeline!$C$3:$C$302,"&lt;&gt;")</f>
        <v>1</v>
      </c>
      <c r="C4" s="17" t="s">
        <v>40</v>
      </c>
    </row>
    <row r="5" customFormat="false" ht="15" hidden="false" customHeight="false" outlineLevel="0" collapsed="false">
      <c r="A5" s="15" t="s">
        <v>41</v>
      </c>
      <c r="B5" s="16" t="n">
        <f aca="false">COUNTIF(Pipeline!$L$3:$L$302,"Nao iniciado")</f>
        <v>0</v>
      </c>
      <c r="C5" s="17" t="s">
        <v>42</v>
      </c>
    </row>
    <row r="6" customFormat="false" ht="15" hidden="false" customHeight="false" outlineLevel="0" collapsed="false">
      <c r="A6" s="15" t="s">
        <v>43</v>
      </c>
      <c r="B6" s="16" t="n">
        <f aca="false">COUNTIF(Pipeline!$C$3:$C$302,"&lt;&gt;")-COUNTIF(Pipeline!$L$3:$L$302,"Nao iniciado")-COUNTIF(Pipeline!$L$3:$L$302,"Descartado")</f>
        <v>1</v>
      </c>
      <c r="C6" s="17" t="s">
        <v>44</v>
      </c>
    </row>
    <row r="7" customFormat="false" ht="15" hidden="false" customHeight="false" outlineLevel="0" collapsed="false">
      <c r="A7" s="15" t="s">
        <v>45</v>
      </c>
      <c r="B7" s="16" t="n">
        <f aca="false">COUNTIF(Pipeline!$T$3:$T$302,"Sim")</f>
        <v>0</v>
      </c>
      <c r="C7" s="17" t="s">
        <v>46</v>
      </c>
    </row>
    <row r="8" customFormat="false" ht="15" hidden="false" customHeight="false" outlineLevel="0" collapsed="false">
      <c r="A8" s="15" t="s">
        <v>47</v>
      </c>
      <c r="B8" s="16" t="n">
        <f aca="false">COUNTIF(Pipeline!$L$3:$L$302,"Diagnostico aceito")+COUNTIF(Pipeline!$L$3:$L$302,"Docs recebidos")+COUNTIF(Pipeline!$L$3:$L$302,"Relatorio entregue")+COUNTIF(Pipeline!$L$3:$L$302,"Proposta enviada")+COUNTIF(Pipeline!$L$3:$L$302,"FECHADO")</f>
        <v>0</v>
      </c>
      <c r="C8" s="17" t="s">
        <v>48</v>
      </c>
    </row>
    <row r="9" customFormat="false" ht="15" hidden="false" customHeight="false" outlineLevel="0" collapsed="false">
      <c r="A9" s="15" t="s">
        <v>49</v>
      </c>
      <c r="B9" s="16" t="n">
        <f aca="false">COUNTIF(Pipeline!$L$3:$L$302,"Relatorio entregue")+COUNTIF(Pipeline!$L$3:$L$302,"Proposta enviada")+COUNTIF(Pipeline!$L$3:$L$302,"FECHADO")</f>
        <v>0</v>
      </c>
      <c r="C9" s="17" t="s">
        <v>50</v>
      </c>
    </row>
    <row r="10" customFormat="false" ht="15" hidden="false" customHeight="false" outlineLevel="0" collapsed="false">
      <c r="A10" s="15" t="s">
        <v>51</v>
      </c>
      <c r="B10" s="16" t="n">
        <f aca="false">COUNTIF(Pipeline!$L$3:$L$302,"FECHADO")</f>
        <v>0</v>
      </c>
      <c r="C10" s="17" t="s">
        <v>52</v>
      </c>
    </row>
    <row r="11" customFormat="false" ht="15" hidden="false" customHeight="false" outlineLevel="0" collapsed="false">
      <c r="A11" s="15" t="s">
        <v>53</v>
      </c>
      <c r="B11" s="16" t="n">
        <f aca="false">COUNTIF(Pipeline!$L$3:$L$302,"Perdido")</f>
        <v>0</v>
      </c>
    </row>
    <row r="13" customFormat="false" ht="15" hidden="false" customHeight="false" outlineLevel="0" collapsed="false">
      <c r="A13" s="13" t="s">
        <v>54</v>
      </c>
      <c r="B13" s="14"/>
      <c r="C13" s="14"/>
    </row>
    <row r="14" customFormat="false" ht="15" hidden="false" customHeight="false" outlineLevel="0" collapsed="false">
      <c r="A14" s="15" t="s">
        <v>55</v>
      </c>
      <c r="B14" s="18" t="n">
        <f aca="false">IFERROR(B6/B5,0)</f>
        <v>0</v>
      </c>
      <c r="C14" s="17" t="s">
        <v>56</v>
      </c>
    </row>
    <row r="15" customFormat="false" ht="15" hidden="false" customHeight="false" outlineLevel="0" collapsed="false">
      <c r="A15" s="15" t="s">
        <v>57</v>
      </c>
      <c r="B15" s="18" t="n">
        <f aca="false">IFERROR(B7/B5,0)</f>
        <v>0</v>
      </c>
      <c r="C15" s="17" t="s">
        <v>58</v>
      </c>
    </row>
    <row r="16" customFormat="false" ht="15" hidden="false" customHeight="false" outlineLevel="0" collapsed="false">
      <c r="A16" s="15" t="s">
        <v>59</v>
      </c>
      <c r="B16" s="18" t="n">
        <f aca="false">IFERROR(B9/B7,0)</f>
        <v>0</v>
      </c>
      <c r="C16" s="17" t="s">
        <v>60</v>
      </c>
    </row>
    <row r="17" customFormat="false" ht="15" hidden="false" customHeight="false" outlineLevel="0" collapsed="false">
      <c r="A17" s="15" t="s">
        <v>61</v>
      </c>
      <c r="B17" s="18" t="n">
        <f aca="false">IFERROR(B9/B5,0)</f>
        <v>0</v>
      </c>
      <c r="C17" s="17" t="s">
        <v>62</v>
      </c>
    </row>
    <row r="19" customFormat="false" ht="15" hidden="false" customHeight="false" outlineLevel="0" collapsed="false">
      <c r="A19" s="13" t="s">
        <v>63</v>
      </c>
      <c r="B19" s="14"/>
      <c r="C19" s="14"/>
    </row>
    <row r="20" customFormat="false" ht="15" hidden="false" customHeight="false" outlineLevel="0" collapsed="false">
      <c r="A20" s="15" t="s">
        <v>64</v>
      </c>
      <c r="B20" s="19" t="n">
        <f aca="false">SUM(Pipeline!$U$3:$U$302)</f>
        <v>0</v>
      </c>
      <c r="C20" s="17" t="s">
        <v>65</v>
      </c>
    </row>
    <row r="21" customFormat="false" ht="15" hidden="false" customHeight="false" outlineLevel="0" collapsed="false">
      <c r="A21" s="15" t="s">
        <v>66</v>
      </c>
      <c r="B21" s="19" t="n">
        <f aca="false">SUM(Pipeline!$V$3:$V$302)</f>
        <v>0</v>
      </c>
    </row>
    <row r="22" customFormat="false" ht="15" hidden="false" customHeight="false" outlineLevel="0" collapsed="false">
      <c r="A22" s="15" t="s">
        <v>67</v>
      </c>
      <c r="B22" s="19" t="n">
        <f aca="false">SUMIF(Pipeline!$L$3:$L$302,"FECHADO",Pipeline!$W$3:$W$302)</f>
        <v>0</v>
      </c>
      <c r="C22" s="17" t="s">
        <v>68</v>
      </c>
    </row>
    <row r="23" customFormat="false" ht="15" hidden="false" customHeight="false" outlineLevel="0" collapsed="false">
      <c r="A23" s="15" t="s">
        <v>69</v>
      </c>
      <c r="B23" s="19" t="n">
        <f aca="false">SUMIF(Pipeline!$L$3:$L$302,"FECHADO",Pipeline!$V$3:$V$302)*0.25</f>
        <v>0</v>
      </c>
      <c r="C23" s="17" t="s">
        <v>70</v>
      </c>
    </row>
    <row r="25" customFormat="false" ht="15" hidden="false" customHeight="false" outlineLevel="0" collapsed="false">
      <c r="A25" s="13" t="s">
        <v>71</v>
      </c>
      <c r="B25" s="14"/>
      <c r="C25" s="14"/>
    </row>
    <row r="26" customFormat="false" ht="15" hidden="false" customHeight="false" outlineLevel="0" collapsed="false">
      <c r="A26" s="15" t="s">
        <v>72</v>
      </c>
      <c r="B26" s="16" t="n">
        <f aca="false">COUNTIF(Pipeline!$R$3:$R$302,"ATRASADO")</f>
        <v>0</v>
      </c>
      <c r="C26" s="17" t="s">
        <v>73</v>
      </c>
    </row>
    <row r="27" customFormat="false" ht="15" hidden="false" customHeight="false" outlineLevel="0" collapsed="false">
      <c r="A27" s="15" t="s">
        <v>74</v>
      </c>
      <c r="B27" s="16" t="n">
        <f aca="false">COUNTIF(Pipeline!$R$3:$R$302,"HOJE")</f>
        <v>0</v>
      </c>
    </row>
    <row r="28" customFormat="false" ht="15" hidden="false" customHeight="false" outlineLevel="0" collapsed="false">
      <c r="A28" s="15" t="s">
        <v>75</v>
      </c>
      <c r="B28" s="16" t="n">
        <f aca="false">COUNTIF(Pipeline!$R$3:$R$302,"RESPONDEU")</f>
        <v>0</v>
      </c>
      <c r="C28" s="17" t="s">
        <v>76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0" t="s">
        <v>77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3" t="s">
        <v>78</v>
      </c>
    </row>
    <row r="4" customFormat="false" ht="15" hidden="false" customHeight="false" outlineLevel="0" collapsed="false">
      <c r="A4" s="15" t="s">
        <v>79</v>
      </c>
    </row>
    <row r="5" customFormat="false" ht="15" hidden="false" customHeight="false" outlineLevel="0" collapsed="false">
      <c r="A5" s="15" t="s">
        <v>80</v>
      </c>
    </row>
    <row r="6" customFormat="false" ht="15" hidden="false" customHeight="false" outlineLevel="0" collapsed="false">
      <c r="A6" s="15"/>
    </row>
    <row r="7" customFormat="false" ht="15" hidden="false" customHeight="false" outlineLevel="0" collapsed="false">
      <c r="A7" s="13" t="s">
        <v>81</v>
      </c>
    </row>
    <row r="8" customFormat="false" ht="15" hidden="false" customHeight="false" outlineLevel="0" collapsed="false">
      <c r="A8" s="15" t="s">
        <v>82</v>
      </c>
    </row>
    <row r="9" customFormat="false" ht="15" hidden="false" customHeight="false" outlineLevel="0" collapsed="false">
      <c r="A9" s="15" t="s">
        <v>83</v>
      </c>
    </row>
    <row r="10" customFormat="false" ht="15" hidden="false" customHeight="false" outlineLevel="0" collapsed="false">
      <c r="A10" s="15" t="s">
        <v>84</v>
      </c>
    </row>
    <row r="11" customFormat="false" ht="15" hidden="false" customHeight="false" outlineLevel="0" collapsed="false">
      <c r="A11" s="15" t="s">
        <v>85</v>
      </c>
    </row>
    <row r="12" customFormat="false" ht="15" hidden="false" customHeight="false" outlineLevel="0" collapsed="false">
      <c r="A12" s="15" t="s">
        <v>86</v>
      </c>
    </row>
    <row r="13" customFormat="false" ht="15" hidden="false" customHeight="false" outlineLevel="0" collapsed="false">
      <c r="A13" s="15" t="s">
        <v>87</v>
      </c>
    </row>
    <row r="14" customFormat="false" ht="15" hidden="false" customHeight="false" outlineLevel="0" collapsed="false">
      <c r="A14" s="15" t="s">
        <v>88</v>
      </c>
    </row>
    <row r="15" customFormat="false" ht="15" hidden="false" customHeight="false" outlineLevel="0" collapsed="false">
      <c r="A15" s="15" t="s">
        <v>89</v>
      </c>
    </row>
    <row r="16" customFormat="false" ht="15" hidden="false" customHeight="false" outlineLevel="0" collapsed="false">
      <c r="A16" s="15"/>
    </row>
    <row r="17" customFormat="false" ht="15" hidden="false" customHeight="false" outlineLevel="0" collapsed="false">
      <c r="A17" s="13" t="s">
        <v>90</v>
      </c>
    </row>
    <row r="18" customFormat="false" ht="15" hidden="false" customHeight="false" outlineLevel="0" collapsed="false">
      <c r="A18" s="15" t="s">
        <v>91</v>
      </c>
    </row>
    <row r="19" customFormat="false" ht="15" hidden="false" customHeight="false" outlineLevel="0" collapsed="false">
      <c r="A19" s="15" t="s">
        <v>92</v>
      </c>
    </row>
    <row r="20" customFormat="false" ht="15" hidden="false" customHeight="false" outlineLevel="0" collapsed="false">
      <c r="A20" s="15" t="s">
        <v>93</v>
      </c>
    </row>
    <row r="21" customFormat="false" ht="15" hidden="false" customHeight="false" outlineLevel="0" collapsed="false">
      <c r="A21" s="15" t="s">
        <v>94</v>
      </c>
    </row>
    <row r="22" customFormat="false" ht="15" hidden="false" customHeight="false" outlineLevel="0" collapsed="false">
      <c r="A22" s="15" t="s">
        <v>95</v>
      </c>
    </row>
    <row r="23" customFormat="false" ht="15" hidden="false" customHeight="false" outlineLevel="0" collapsed="false">
      <c r="A23" s="15"/>
    </row>
    <row r="24" customFormat="false" ht="15" hidden="false" customHeight="false" outlineLevel="0" collapsed="false">
      <c r="A24" s="13" t="s">
        <v>96</v>
      </c>
    </row>
    <row r="25" customFormat="false" ht="15" hidden="false" customHeight="false" outlineLevel="0" collapsed="false">
      <c r="A25" s="15" t="s">
        <v>97</v>
      </c>
    </row>
    <row r="26" customFormat="false" ht="15" hidden="false" customHeight="false" outlineLevel="0" collapsed="false">
      <c r="A26" s="15" t="s">
        <v>98</v>
      </c>
    </row>
    <row r="27" customFormat="false" ht="15" hidden="false" customHeight="false" outlineLevel="0" collapsed="false">
      <c r="A27" s="15" t="s">
        <v>99</v>
      </c>
    </row>
    <row r="28" customFormat="false" ht="15" hidden="false" customHeight="false" outlineLevel="0" collapsed="false">
      <c r="A28" s="15" t="s">
        <v>100</v>
      </c>
    </row>
    <row r="29" customFormat="false" ht="15" hidden="false" customHeight="false" outlineLevel="0" collapsed="false">
      <c r="A29" s="15"/>
    </row>
    <row r="30" customFormat="false" ht="15" hidden="false" customHeight="false" outlineLevel="0" collapsed="false">
      <c r="A30" s="13" t="s">
        <v>101</v>
      </c>
    </row>
    <row r="31" customFormat="false" ht="15" hidden="false" customHeight="false" outlineLevel="0" collapsed="false">
      <c r="A31" s="15" t="s">
        <v>102</v>
      </c>
    </row>
    <row r="32" customFormat="false" ht="15" hidden="false" customHeight="false" outlineLevel="0" collapsed="false">
      <c r="A32" s="15" t="s">
        <v>103</v>
      </c>
    </row>
    <row r="33" customFormat="false" ht="15" hidden="false" customHeight="false" outlineLevel="0" collapsed="false">
      <c r="A33" s="15" t="s">
        <v>104</v>
      </c>
    </row>
    <row r="34" customFormat="false" ht="15" hidden="false" customHeight="false" outlineLevel="0" collapsed="false">
      <c r="A34" s="15" t="s">
        <v>105</v>
      </c>
    </row>
    <row r="35" customFormat="false" ht="15" hidden="false" customHeight="false" outlineLevel="0" collapsed="false">
      <c r="A35" s="15"/>
    </row>
    <row r="36" customFormat="false" ht="15" hidden="false" customHeight="false" outlineLevel="0" collapsed="false">
      <c r="A36" s="13" t="s">
        <v>106</v>
      </c>
    </row>
    <row r="37" customFormat="false" ht="15" hidden="false" customHeight="false" outlineLevel="0" collapsed="false">
      <c r="A37" s="15" t="s">
        <v>107</v>
      </c>
    </row>
    <row r="38" customFormat="false" ht="15" hidden="false" customHeight="false" outlineLevel="0" collapsed="false">
      <c r="A38" s="1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2026-08-20T12:28:10Z</dcterms:created>
  <dc:creator>openpyxl</dc:creator>
  <dc:description/>
  <dc:language>en-US</dc:language>
  <cp:lastModifiedBy/>
  <dcterms:modified xsi:type="dcterms:W3CDTF">2026-08-20T12:28:11Z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